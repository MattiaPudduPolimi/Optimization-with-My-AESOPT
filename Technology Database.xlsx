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73664_polimi_it/Documents/Mattia_Puddu_Tesi/"/>
    </mc:Choice>
  </mc:AlternateContent>
  <xr:revisionPtr revIDLastSave="15" documentId="13_ncr:1_{0173FED7-25FD-46F1-A14E-6993F824668F}" xr6:coauthVersionLast="47" xr6:coauthVersionMax="47" xr10:uidLastSave="{8614E3FC-DADE-442F-B2BF-94EC41EE3F74}"/>
  <bookViews>
    <workbookView xWindow="-108" yWindow="-108" windowWidth="23256" windowHeight="13176" tabRatio="790" activeTab="2" xr2:uid="{00000000-000D-0000-FFFF-FFFF00000000}"/>
  </bookViews>
  <sheets>
    <sheet name="VARIABILI" sheetId="1" r:id="rId1"/>
    <sheet name="FISSE" sheetId="2" r:id="rId2"/>
    <sheet name="CORRELATIONS" sheetId="7" r:id="rId3"/>
    <sheet name="How O&amp;M + Replacement was calc" sheetId="8" r:id="rId4"/>
    <sheet name="How Start up Cost was calc" sheetId="10" r:id="rId5"/>
    <sheet name="REFERENCES" sheetId="3" r:id="rId6"/>
  </sheets>
  <definedNames>
    <definedName name="_xlnm._FilterDatabase" localSheetId="1" hidden="1">FISSE!$B$2:$B$223</definedName>
    <definedName name="_xlnm._FilterDatabase" localSheetId="0" hidden="1">VARIABILI!$B$2:$B$62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" l="1"/>
  <c r="V12" i="1"/>
  <c r="V10" i="1"/>
  <c r="V7" i="1"/>
  <c r="V6" i="1"/>
  <c r="V4" i="1"/>
  <c r="V5" i="1"/>
  <c r="V3" i="1"/>
  <c r="T20" i="2"/>
  <c r="T21" i="2"/>
  <c r="T22" i="2"/>
  <c r="T23" i="2"/>
  <c r="T24" i="2"/>
  <c r="T25" i="2"/>
  <c r="T26" i="2"/>
  <c r="T19" i="2"/>
  <c r="T15" i="2"/>
  <c r="T16" i="2"/>
  <c r="T14" i="2"/>
  <c r="T4" i="2"/>
  <c r="T5" i="2"/>
  <c r="T6" i="2"/>
  <c r="T7" i="2"/>
  <c r="T8" i="2"/>
  <c r="T9" i="2"/>
  <c r="T10" i="2"/>
  <c r="T11" i="2"/>
  <c r="T12" i="2"/>
  <c r="T13" i="2"/>
  <c r="T3" i="2"/>
  <c r="W11" i="2" l="1"/>
  <c r="W12" i="2"/>
  <c r="W13" i="2"/>
  <c r="W10" i="2"/>
  <c r="W9" i="2"/>
  <c r="W8" i="2"/>
  <c r="W7" i="2"/>
  <c r="W6" i="2"/>
  <c r="W5" i="2"/>
  <c r="W4" i="2"/>
  <c r="W3" i="2"/>
  <c r="C444" i="8" l="1"/>
  <c r="C428" i="8"/>
  <c r="C412" i="8"/>
  <c r="T175" i="2" l="1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04" i="2"/>
  <c r="T103" i="2"/>
  <c r="T102" i="2"/>
  <c r="T101" i="2"/>
  <c r="T100" i="2"/>
  <c r="T99" i="2"/>
  <c r="T98" i="2"/>
  <c r="T97" i="2"/>
  <c r="T96" i="2"/>
  <c r="T95" i="2"/>
  <c r="T94" i="2"/>
  <c r="T93" i="2"/>
  <c r="T80" i="2"/>
  <c r="T79" i="2"/>
  <c r="T78" i="2"/>
  <c r="T77" i="2"/>
  <c r="T76" i="2"/>
  <c r="T75" i="2"/>
  <c r="T74" i="2"/>
  <c r="T73" i="2"/>
  <c r="T72" i="2"/>
  <c r="T71" i="2"/>
  <c r="T70" i="2"/>
  <c r="T69" i="2"/>
  <c r="T62" i="2"/>
  <c r="T61" i="2"/>
  <c r="T60" i="2"/>
  <c r="T59" i="2"/>
  <c r="T58" i="2"/>
  <c r="T57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Z40" i="1"/>
  <c r="Z39" i="1"/>
  <c r="Z34" i="1"/>
  <c r="Z33" i="1"/>
  <c r="Z28" i="1"/>
  <c r="Z27" i="1"/>
  <c r="Z22" i="1"/>
  <c r="Z20" i="1"/>
  <c r="Z19" i="1"/>
  <c r="Z18" i="1"/>
  <c r="F88" i="10" l="1"/>
  <c r="H90" i="10" s="1"/>
  <c r="F87" i="10"/>
  <c r="D90" i="10" s="1"/>
  <c r="D79" i="10"/>
  <c r="F76" i="10"/>
  <c r="F75" i="10"/>
  <c r="D78" i="10" s="1"/>
  <c r="AD140" i="2" l="1"/>
  <c r="C140" i="2" s="1"/>
  <c r="D140" i="2" s="1"/>
  <c r="AD139" i="2"/>
  <c r="T139" i="2" s="1"/>
  <c r="X139" i="2" s="1"/>
  <c r="AD138" i="2"/>
  <c r="C138" i="2" s="1"/>
  <c r="D138" i="2" s="1"/>
  <c r="AD137" i="2"/>
  <c r="N137" i="2" s="1"/>
  <c r="O137" i="2" s="1"/>
  <c r="AD136" i="2"/>
  <c r="C136" i="2" s="1"/>
  <c r="D136" i="2" s="1"/>
  <c r="AD135" i="2"/>
  <c r="T135" i="2" s="1"/>
  <c r="X135" i="2" s="1"/>
  <c r="AD134" i="2"/>
  <c r="N134" i="2" s="1"/>
  <c r="O134" i="2" s="1"/>
  <c r="AD133" i="2"/>
  <c r="T133" i="2" s="1"/>
  <c r="X133" i="2" s="1"/>
  <c r="AD132" i="2"/>
  <c r="T132" i="2" s="1"/>
  <c r="X132" i="2" s="1"/>
  <c r="AD131" i="2"/>
  <c r="T131" i="2" s="1"/>
  <c r="X131" i="2" s="1"/>
  <c r="AD130" i="2"/>
  <c r="N130" i="2" s="1"/>
  <c r="AD129" i="2"/>
  <c r="T129" i="2" s="1"/>
  <c r="X129" i="2" s="1"/>
  <c r="AD116" i="2"/>
  <c r="C116" i="2" s="1"/>
  <c r="D116" i="2" s="1"/>
  <c r="AD115" i="2"/>
  <c r="T115" i="2" s="1"/>
  <c r="X115" i="2" s="1"/>
  <c r="AD114" i="2"/>
  <c r="C114" i="2" s="1"/>
  <c r="D114" i="2" s="1"/>
  <c r="AD113" i="2"/>
  <c r="T113" i="2" s="1"/>
  <c r="X113" i="2" s="1"/>
  <c r="AD112" i="2"/>
  <c r="N112" i="2" s="1"/>
  <c r="AD111" i="2"/>
  <c r="T111" i="2" s="1"/>
  <c r="X111" i="2" s="1"/>
  <c r="AD110" i="2"/>
  <c r="N110" i="2" s="1"/>
  <c r="O110" i="2" s="1"/>
  <c r="AD109" i="2"/>
  <c r="T109" i="2" s="1"/>
  <c r="X109" i="2" s="1"/>
  <c r="AD108" i="2"/>
  <c r="C108" i="2" s="1"/>
  <c r="D108" i="2" s="1"/>
  <c r="AD107" i="2"/>
  <c r="T107" i="2" s="1"/>
  <c r="X107" i="2" s="1"/>
  <c r="AD106" i="2"/>
  <c r="T106" i="2" s="1"/>
  <c r="X106" i="2" s="1"/>
  <c r="AD105" i="2"/>
  <c r="T105" i="2" s="1"/>
  <c r="X105" i="2" s="1"/>
  <c r="AD82" i="2"/>
  <c r="C82" i="2" s="1"/>
  <c r="D82" i="2" s="1"/>
  <c r="AD83" i="2"/>
  <c r="T83" i="2" s="1"/>
  <c r="X83" i="2" s="1"/>
  <c r="AD84" i="2"/>
  <c r="N84" i="2" s="1"/>
  <c r="O84" i="2" s="1"/>
  <c r="AD85" i="2"/>
  <c r="T85" i="2" s="1"/>
  <c r="X85" i="2" s="1"/>
  <c r="AD86" i="2"/>
  <c r="N86" i="2" s="1"/>
  <c r="O86" i="2" s="1"/>
  <c r="AD87" i="2"/>
  <c r="T87" i="2" s="1"/>
  <c r="X87" i="2" s="1"/>
  <c r="AD88" i="2"/>
  <c r="N88" i="2" s="1"/>
  <c r="O88" i="2" s="1"/>
  <c r="AD89" i="2"/>
  <c r="T89" i="2" s="1"/>
  <c r="X89" i="2" s="1"/>
  <c r="AD90" i="2"/>
  <c r="C90" i="2" s="1"/>
  <c r="D90" i="2" s="1"/>
  <c r="AD91" i="2"/>
  <c r="T91" i="2" s="1"/>
  <c r="X91" i="2" s="1"/>
  <c r="AD92" i="2"/>
  <c r="C92" i="2" s="1"/>
  <c r="D92" i="2" s="1"/>
  <c r="AD81" i="2"/>
  <c r="T81" i="2" s="1"/>
  <c r="X81" i="2" s="1"/>
  <c r="AD64" i="2"/>
  <c r="N64" i="2" s="1"/>
  <c r="O64" i="2" s="1"/>
  <c r="AD65" i="2"/>
  <c r="T65" i="2" s="1"/>
  <c r="X65" i="2" s="1"/>
  <c r="AD66" i="2"/>
  <c r="C66" i="2" s="1"/>
  <c r="D66" i="2" s="1"/>
  <c r="AD67" i="2"/>
  <c r="T67" i="2" s="1"/>
  <c r="X67" i="2" s="1"/>
  <c r="AD68" i="2"/>
  <c r="C68" i="2" s="1"/>
  <c r="D68" i="2" s="1"/>
  <c r="AD63" i="2"/>
  <c r="C63" i="2" s="1"/>
  <c r="D63" i="2" s="1"/>
  <c r="AD43" i="2"/>
  <c r="C43" i="2" s="1"/>
  <c r="D43" i="2" s="1"/>
  <c r="AD44" i="2"/>
  <c r="C44" i="2" s="1"/>
  <c r="D44" i="2" s="1"/>
  <c r="AD45" i="2"/>
  <c r="T45" i="2" s="1"/>
  <c r="X45" i="2" s="1"/>
  <c r="AD46" i="2"/>
  <c r="T46" i="2" s="1"/>
  <c r="X46" i="2" s="1"/>
  <c r="AD47" i="2"/>
  <c r="C47" i="2" s="1"/>
  <c r="D47" i="2" s="1"/>
  <c r="AD48" i="2"/>
  <c r="T48" i="2" s="1"/>
  <c r="X48" i="2" s="1"/>
  <c r="AD49" i="2"/>
  <c r="N49" i="2" s="1"/>
  <c r="O49" i="2" s="1"/>
  <c r="AD50" i="2"/>
  <c r="C50" i="2" s="1"/>
  <c r="D50" i="2" s="1"/>
  <c r="AD51" i="2"/>
  <c r="N51" i="2" s="1"/>
  <c r="O51" i="2" s="1"/>
  <c r="AD52" i="2"/>
  <c r="N52" i="2" s="1"/>
  <c r="O52" i="2" s="1"/>
  <c r="AD53" i="2"/>
  <c r="C53" i="2" s="1"/>
  <c r="D53" i="2" s="1"/>
  <c r="AD54" i="2"/>
  <c r="N54" i="2" s="1"/>
  <c r="O54" i="2" s="1"/>
  <c r="AD55" i="2"/>
  <c r="N55" i="2" s="1"/>
  <c r="O55" i="2" s="1"/>
  <c r="AD56" i="2"/>
  <c r="C56" i="2" s="1"/>
  <c r="D56" i="2" s="1"/>
  <c r="AD42" i="2"/>
  <c r="T42" i="2" s="1"/>
  <c r="X42" i="2" s="1"/>
  <c r="N105" i="2" l="1"/>
  <c r="O105" i="2" s="1"/>
  <c r="C137" i="2"/>
  <c r="D137" i="2" s="1"/>
  <c r="N129" i="2"/>
  <c r="O129" i="2" s="1"/>
  <c r="C106" i="2"/>
  <c r="D106" i="2" s="1"/>
  <c r="T137" i="2"/>
  <c r="X137" i="2" s="1"/>
  <c r="T136" i="2"/>
  <c r="X136" i="2" s="1"/>
  <c r="C88" i="2"/>
  <c r="D88" i="2" s="1"/>
  <c r="C129" i="2"/>
  <c r="D129" i="2" s="1"/>
  <c r="T138" i="2"/>
  <c r="X138" i="2" s="1"/>
  <c r="N138" i="2"/>
  <c r="O138" i="2" s="1"/>
  <c r="T130" i="2"/>
  <c r="X130" i="2" s="1"/>
  <c r="N139" i="2"/>
  <c r="O139" i="2" s="1"/>
  <c r="C87" i="2"/>
  <c r="D87" i="2" s="1"/>
  <c r="N116" i="2"/>
  <c r="O116" i="2" s="1"/>
  <c r="C130" i="2"/>
  <c r="D130" i="2" s="1"/>
  <c r="N136" i="2"/>
  <c r="O136" i="2" s="1"/>
  <c r="C134" i="2"/>
  <c r="D134" i="2" s="1"/>
  <c r="N133" i="2"/>
  <c r="C135" i="2"/>
  <c r="D135" i="2" s="1"/>
  <c r="N131" i="2"/>
  <c r="O131" i="2" s="1"/>
  <c r="N140" i="2"/>
  <c r="O140" i="2" s="1"/>
  <c r="N132" i="2"/>
  <c r="T134" i="2"/>
  <c r="X134" i="2" s="1"/>
  <c r="N108" i="2"/>
  <c r="O108" i="2" s="1"/>
  <c r="C131" i="2"/>
  <c r="D131" i="2" s="1"/>
  <c r="C132" i="2"/>
  <c r="D132" i="2" s="1"/>
  <c r="C111" i="2"/>
  <c r="D111" i="2" s="1"/>
  <c r="T140" i="2"/>
  <c r="X140" i="2" s="1"/>
  <c r="O130" i="2"/>
  <c r="C133" i="2"/>
  <c r="D133" i="2" s="1"/>
  <c r="C139" i="2"/>
  <c r="D139" i="2" s="1"/>
  <c r="N135" i="2"/>
  <c r="O135" i="2" s="1"/>
  <c r="C105" i="2"/>
  <c r="D105" i="2" s="1"/>
  <c r="O133" i="2"/>
  <c r="C107" i="2"/>
  <c r="D107" i="2" s="1"/>
  <c r="C112" i="2"/>
  <c r="D112" i="2" s="1"/>
  <c r="N115" i="2"/>
  <c r="O115" i="2" s="1"/>
  <c r="N107" i="2"/>
  <c r="O107" i="2" s="1"/>
  <c r="N68" i="2"/>
  <c r="O68" i="2" s="1"/>
  <c r="N114" i="2"/>
  <c r="O114" i="2" s="1"/>
  <c r="N106" i="2"/>
  <c r="O106" i="2" s="1"/>
  <c r="T116" i="2"/>
  <c r="X116" i="2" s="1"/>
  <c r="T114" i="2"/>
  <c r="X114" i="2" s="1"/>
  <c r="T112" i="2"/>
  <c r="X112" i="2" s="1"/>
  <c r="T110" i="2"/>
  <c r="X110" i="2" s="1"/>
  <c r="T108" i="2"/>
  <c r="X108" i="2" s="1"/>
  <c r="C113" i="2"/>
  <c r="D113" i="2" s="1"/>
  <c r="N113" i="2"/>
  <c r="O113" i="2" s="1"/>
  <c r="N109" i="2"/>
  <c r="O109" i="2" s="1"/>
  <c r="C109" i="2"/>
  <c r="D109" i="2" s="1"/>
  <c r="C115" i="2"/>
  <c r="D115" i="2" s="1"/>
  <c r="N111" i="2"/>
  <c r="O111" i="2" s="1"/>
  <c r="C110" i="2"/>
  <c r="D110" i="2" s="1"/>
  <c r="O112" i="2"/>
  <c r="N63" i="2"/>
  <c r="O63" i="2" s="1"/>
  <c r="C89" i="2"/>
  <c r="D89" i="2" s="1"/>
  <c r="N81" i="2"/>
  <c r="O81" i="2" s="1"/>
  <c r="N85" i="2"/>
  <c r="O85" i="2" s="1"/>
  <c r="N92" i="2"/>
  <c r="O92" i="2" s="1"/>
  <c r="C86" i="2"/>
  <c r="D86" i="2" s="1"/>
  <c r="N90" i="2"/>
  <c r="O90" i="2" s="1"/>
  <c r="N82" i="2"/>
  <c r="O82" i="2" s="1"/>
  <c r="T92" i="2"/>
  <c r="X92" i="2" s="1"/>
  <c r="T90" i="2"/>
  <c r="X90" i="2" s="1"/>
  <c r="T88" i="2"/>
  <c r="X88" i="2" s="1"/>
  <c r="T86" i="2"/>
  <c r="X86" i="2" s="1"/>
  <c r="T84" i="2"/>
  <c r="X84" i="2" s="1"/>
  <c r="T82" i="2"/>
  <c r="X82" i="2" s="1"/>
  <c r="C81" i="2"/>
  <c r="D81" i="2" s="1"/>
  <c r="C85" i="2"/>
  <c r="D85" i="2" s="1"/>
  <c r="N89" i="2"/>
  <c r="O89" i="2" s="1"/>
  <c r="C84" i="2"/>
  <c r="D84" i="2" s="1"/>
  <c r="N83" i="2"/>
  <c r="O83" i="2" s="1"/>
  <c r="C67" i="2"/>
  <c r="D67" i="2" s="1"/>
  <c r="C91" i="2"/>
  <c r="D91" i="2" s="1"/>
  <c r="C83" i="2"/>
  <c r="D83" i="2" s="1"/>
  <c r="N87" i="2"/>
  <c r="O87" i="2" s="1"/>
  <c r="T68" i="2"/>
  <c r="X68" i="2" s="1"/>
  <c r="N91" i="2"/>
  <c r="O91" i="2" s="1"/>
  <c r="C64" i="2"/>
  <c r="D64" i="2" s="1"/>
  <c r="N65" i="2"/>
  <c r="O65" i="2" s="1"/>
  <c r="N46" i="2"/>
  <c r="O46" i="2" s="1"/>
  <c r="C65" i="2"/>
  <c r="D65" i="2" s="1"/>
  <c r="T63" i="2"/>
  <c r="X63" i="2" s="1"/>
  <c r="T64" i="2"/>
  <c r="X64" i="2" s="1"/>
  <c r="N67" i="2"/>
  <c r="O67" i="2" s="1"/>
  <c r="T66" i="2"/>
  <c r="X66" i="2" s="1"/>
  <c r="N66" i="2"/>
  <c r="O66" i="2" s="1"/>
  <c r="C46" i="2"/>
  <c r="D46" i="2" s="1"/>
  <c r="T54" i="2"/>
  <c r="X54" i="2" s="1"/>
  <c r="N42" i="2"/>
  <c r="O42" i="2" s="1"/>
  <c r="N45" i="2"/>
  <c r="O45" i="2" s="1"/>
  <c r="C42" i="2"/>
  <c r="D42" i="2" s="1"/>
  <c r="N47" i="2"/>
  <c r="O47" i="2" s="1"/>
  <c r="C55" i="2"/>
  <c r="D55" i="2" s="1"/>
  <c r="C49" i="2"/>
  <c r="D49" i="2" s="1"/>
  <c r="N53" i="2"/>
  <c r="O53" i="2" s="1"/>
  <c r="C45" i="2"/>
  <c r="D45" i="2" s="1"/>
  <c r="C48" i="2"/>
  <c r="D48" i="2" s="1"/>
  <c r="N43" i="2"/>
  <c r="O43" i="2" s="1"/>
  <c r="N48" i="2"/>
  <c r="O48" i="2" s="1"/>
  <c r="T55" i="2"/>
  <c r="X55" i="2" s="1"/>
  <c r="T53" i="2"/>
  <c r="X53" i="2" s="1"/>
  <c r="T51" i="2"/>
  <c r="X51" i="2" s="1"/>
  <c r="T49" i="2"/>
  <c r="X49" i="2" s="1"/>
  <c r="T47" i="2"/>
  <c r="X47" i="2" s="1"/>
  <c r="T43" i="2"/>
  <c r="X43" i="2" s="1"/>
  <c r="C54" i="2"/>
  <c r="D54" i="2" s="1"/>
  <c r="N44" i="2"/>
  <c r="O44" i="2" s="1"/>
  <c r="C52" i="2"/>
  <c r="D52" i="2" s="1"/>
  <c r="N50" i="2"/>
  <c r="O50" i="2" s="1"/>
  <c r="C51" i="2"/>
  <c r="D51" i="2" s="1"/>
  <c r="N56" i="2"/>
  <c r="O56" i="2" s="1"/>
  <c r="T56" i="2"/>
  <c r="X56" i="2" s="1"/>
  <c r="T52" i="2"/>
  <c r="X52" i="2" s="1"/>
  <c r="T50" i="2"/>
  <c r="X50" i="2" s="1"/>
  <c r="T44" i="2"/>
  <c r="X44" i="2" s="1"/>
  <c r="O132" i="2" l="1"/>
  <c r="D26" i="2" l="1"/>
  <c r="O26" i="2"/>
  <c r="U26" i="2"/>
  <c r="Y26" i="2" s="1"/>
  <c r="V26" i="2"/>
  <c r="X26" i="2"/>
  <c r="W26" i="2" l="1"/>
  <c r="AA26" i="2" s="1"/>
  <c r="Z26" i="2"/>
  <c r="N142" i="2" l="1"/>
  <c r="N141" i="2"/>
  <c r="U223" i="2" l="1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5" i="2"/>
  <c r="V204" i="2"/>
  <c r="U204" i="2"/>
  <c r="V203" i="2"/>
  <c r="U203" i="2"/>
  <c r="V202" i="2"/>
  <c r="U202" i="2"/>
  <c r="V201" i="2"/>
  <c r="U201" i="2"/>
  <c r="V200" i="2"/>
  <c r="U200" i="2"/>
  <c r="V199" i="2"/>
  <c r="U199" i="2"/>
  <c r="U198" i="2"/>
  <c r="U197" i="2"/>
  <c r="U196" i="2"/>
  <c r="U195" i="2"/>
  <c r="U194" i="2"/>
  <c r="U193" i="2"/>
  <c r="U192" i="2"/>
  <c r="U191" i="2"/>
  <c r="U189" i="2"/>
  <c r="U188" i="2"/>
  <c r="U187" i="2"/>
  <c r="U186" i="2"/>
  <c r="U185" i="2"/>
  <c r="U184" i="2"/>
  <c r="U183" i="2"/>
  <c r="V182" i="2"/>
  <c r="Z182" i="2" s="1"/>
  <c r="U182" i="2"/>
  <c r="Y182" i="2" s="1"/>
  <c r="O182" i="2"/>
  <c r="AA181" i="2"/>
  <c r="X181" i="2"/>
  <c r="V181" i="2"/>
  <c r="Z181" i="2" s="1"/>
  <c r="U181" i="2"/>
  <c r="Y181" i="2" s="1"/>
  <c r="O181" i="2"/>
  <c r="D181" i="2"/>
  <c r="AA180" i="2"/>
  <c r="X180" i="2"/>
  <c r="V180" i="2"/>
  <c r="Z180" i="2" s="1"/>
  <c r="U180" i="2"/>
  <c r="Y180" i="2" s="1"/>
  <c r="O180" i="2"/>
  <c r="D180" i="2"/>
  <c r="AA179" i="2"/>
  <c r="X179" i="2"/>
  <c r="V179" i="2"/>
  <c r="Z179" i="2" s="1"/>
  <c r="U179" i="2"/>
  <c r="Y179" i="2" s="1"/>
  <c r="O179" i="2"/>
  <c r="X178" i="2"/>
  <c r="V178" i="2"/>
  <c r="Z178" i="2" s="1"/>
  <c r="U178" i="2"/>
  <c r="Y178" i="2" s="1"/>
  <c r="O178" i="2"/>
  <c r="D178" i="2"/>
  <c r="X177" i="2"/>
  <c r="V177" i="2"/>
  <c r="W177" i="2" s="1"/>
  <c r="AA177" i="2" s="1"/>
  <c r="U177" i="2"/>
  <c r="Y177" i="2" s="1"/>
  <c r="O177" i="2"/>
  <c r="D177" i="2"/>
  <c r="X176" i="2"/>
  <c r="V176" i="2"/>
  <c r="Z176" i="2" s="1"/>
  <c r="U176" i="2"/>
  <c r="Y176" i="2" s="1"/>
  <c r="O176" i="2"/>
  <c r="D176" i="2"/>
  <c r="X175" i="2"/>
  <c r="D175" i="2"/>
  <c r="N175" i="2" s="1"/>
  <c r="X174" i="2"/>
  <c r="D174" i="2"/>
  <c r="N174" i="2" s="1"/>
  <c r="O174" i="2" s="1"/>
  <c r="X173" i="2"/>
  <c r="D173" i="2"/>
  <c r="N173" i="2" s="1"/>
  <c r="X172" i="2"/>
  <c r="D172" i="2"/>
  <c r="N172" i="2" s="1"/>
  <c r="X171" i="2"/>
  <c r="D171" i="2"/>
  <c r="N171" i="2" s="1"/>
  <c r="X170" i="2"/>
  <c r="D170" i="2"/>
  <c r="N170" i="2" s="1"/>
  <c r="O170" i="2" s="1"/>
  <c r="X169" i="2"/>
  <c r="D169" i="2"/>
  <c r="N169" i="2" s="1"/>
  <c r="X168" i="2"/>
  <c r="D168" i="2"/>
  <c r="N168" i="2" s="1"/>
  <c r="X167" i="2"/>
  <c r="D167" i="2"/>
  <c r="N167" i="2" s="1"/>
  <c r="X166" i="2"/>
  <c r="D166" i="2"/>
  <c r="N166" i="2" s="1"/>
  <c r="X165" i="2"/>
  <c r="D165" i="2"/>
  <c r="N165" i="2" s="1"/>
  <c r="X164" i="2"/>
  <c r="D164" i="2"/>
  <c r="N164" i="2" s="1"/>
  <c r="X163" i="2"/>
  <c r="D163" i="2"/>
  <c r="N163" i="2" s="1"/>
  <c r="X162" i="2"/>
  <c r="D162" i="2"/>
  <c r="N162" i="2" s="1"/>
  <c r="O162" i="2" s="1"/>
  <c r="X161" i="2"/>
  <c r="D161" i="2"/>
  <c r="N161" i="2" s="1"/>
  <c r="U161" i="2" s="1"/>
  <c r="Y161" i="2" s="1"/>
  <c r="X160" i="2"/>
  <c r="D160" i="2"/>
  <c r="N160" i="2" s="1"/>
  <c r="X159" i="2"/>
  <c r="D159" i="2"/>
  <c r="N159" i="2" s="1"/>
  <c r="X158" i="2"/>
  <c r="D158" i="2"/>
  <c r="N158" i="2" s="1"/>
  <c r="X157" i="2"/>
  <c r="D157" i="2"/>
  <c r="N157" i="2" s="1"/>
  <c r="U157" i="2" s="1"/>
  <c r="Y157" i="2" s="1"/>
  <c r="X156" i="2"/>
  <c r="D156" i="2"/>
  <c r="N156" i="2" s="1"/>
  <c r="X155" i="2"/>
  <c r="D155" i="2"/>
  <c r="N155" i="2" s="1"/>
  <c r="X154" i="2"/>
  <c r="D154" i="2"/>
  <c r="N154" i="2" s="1"/>
  <c r="O154" i="2" s="1"/>
  <c r="X153" i="2"/>
  <c r="D153" i="2"/>
  <c r="N153" i="2" s="1"/>
  <c r="X152" i="2"/>
  <c r="D152" i="2"/>
  <c r="N152" i="2" s="1"/>
  <c r="X151" i="2"/>
  <c r="D151" i="2"/>
  <c r="N151" i="2" s="1"/>
  <c r="X150" i="2"/>
  <c r="D150" i="2"/>
  <c r="N150" i="2" s="1"/>
  <c r="X149" i="2"/>
  <c r="D149" i="2"/>
  <c r="N149" i="2" s="1"/>
  <c r="X148" i="2"/>
  <c r="D148" i="2"/>
  <c r="N148" i="2" s="1"/>
  <c r="X147" i="2"/>
  <c r="D147" i="2"/>
  <c r="N147" i="2" s="1"/>
  <c r="X146" i="2"/>
  <c r="D146" i="2"/>
  <c r="N146" i="2" s="1"/>
  <c r="O146" i="2" s="1"/>
  <c r="X145" i="2"/>
  <c r="D145" i="2"/>
  <c r="N145" i="2" s="1"/>
  <c r="X144" i="2"/>
  <c r="D144" i="2"/>
  <c r="N144" i="2" s="1"/>
  <c r="X143" i="2"/>
  <c r="D143" i="2"/>
  <c r="N143" i="2" s="1"/>
  <c r="X142" i="2"/>
  <c r="V142" i="2"/>
  <c r="W142" i="2" s="1"/>
  <c r="AA142" i="2" s="1"/>
  <c r="U142" i="2"/>
  <c r="Y142" i="2" s="1"/>
  <c r="X141" i="2"/>
  <c r="V141" i="2"/>
  <c r="W141" i="2" s="1"/>
  <c r="AA141" i="2" s="1"/>
  <c r="U141" i="2"/>
  <c r="Y141" i="2" s="1"/>
  <c r="X128" i="2"/>
  <c r="V128" i="2"/>
  <c r="U128" i="2"/>
  <c r="O128" i="2"/>
  <c r="D128" i="2"/>
  <c r="X127" i="2"/>
  <c r="V127" i="2"/>
  <c r="U127" i="2"/>
  <c r="O127" i="2"/>
  <c r="D127" i="2"/>
  <c r="X126" i="2"/>
  <c r="V126" i="2"/>
  <c r="V138" i="2" s="1"/>
  <c r="Z138" i="2" s="1"/>
  <c r="U126" i="2"/>
  <c r="O126" i="2"/>
  <c r="D126" i="2"/>
  <c r="X125" i="2"/>
  <c r="V125" i="2"/>
  <c r="U125" i="2"/>
  <c r="O125" i="2"/>
  <c r="D125" i="2"/>
  <c r="X124" i="2"/>
  <c r="V124" i="2"/>
  <c r="U124" i="2"/>
  <c r="O124" i="2"/>
  <c r="D124" i="2"/>
  <c r="X123" i="2"/>
  <c r="V123" i="2"/>
  <c r="U123" i="2"/>
  <c r="O123" i="2"/>
  <c r="D123" i="2"/>
  <c r="X122" i="2"/>
  <c r="V122" i="2"/>
  <c r="U122" i="2"/>
  <c r="O122" i="2"/>
  <c r="D122" i="2"/>
  <c r="X121" i="2"/>
  <c r="V121" i="2"/>
  <c r="U121" i="2"/>
  <c r="O121" i="2"/>
  <c r="D121" i="2"/>
  <c r="X120" i="2"/>
  <c r="V120" i="2"/>
  <c r="U120" i="2"/>
  <c r="O120" i="2"/>
  <c r="D120" i="2"/>
  <c r="X119" i="2"/>
  <c r="V119" i="2"/>
  <c r="U119" i="2"/>
  <c r="O119" i="2"/>
  <c r="D119" i="2"/>
  <c r="X118" i="2"/>
  <c r="V118" i="2"/>
  <c r="V130" i="2" s="1"/>
  <c r="Z130" i="2" s="1"/>
  <c r="U118" i="2"/>
  <c r="O118" i="2"/>
  <c r="D118" i="2"/>
  <c r="X117" i="2"/>
  <c r="V117" i="2"/>
  <c r="U117" i="2"/>
  <c r="O117" i="2"/>
  <c r="D117" i="2"/>
  <c r="X104" i="2"/>
  <c r="V104" i="2"/>
  <c r="U104" i="2"/>
  <c r="O104" i="2"/>
  <c r="D104" i="2"/>
  <c r="X103" i="2"/>
  <c r="V103" i="2"/>
  <c r="U103" i="2"/>
  <c r="O103" i="2"/>
  <c r="D103" i="2"/>
  <c r="X102" i="2"/>
  <c r="V102" i="2"/>
  <c r="U102" i="2"/>
  <c r="O102" i="2"/>
  <c r="D102" i="2"/>
  <c r="X101" i="2"/>
  <c r="V101" i="2"/>
  <c r="U101" i="2"/>
  <c r="O101" i="2"/>
  <c r="D101" i="2"/>
  <c r="X100" i="2"/>
  <c r="V100" i="2"/>
  <c r="U100" i="2"/>
  <c r="O100" i="2"/>
  <c r="D100" i="2"/>
  <c r="X99" i="2"/>
  <c r="V99" i="2"/>
  <c r="U99" i="2"/>
  <c r="O99" i="2"/>
  <c r="D99" i="2"/>
  <c r="X98" i="2"/>
  <c r="V98" i="2"/>
  <c r="V110" i="2" s="1"/>
  <c r="Z110" i="2" s="1"/>
  <c r="U98" i="2"/>
  <c r="O98" i="2"/>
  <c r="D98" i="2"/>
  <c r="X97" i="2"/>
  <c r="V97" i="2"/>
  <c r="U97" i="2"/>
  <c r="O97" i="2"/>
  <c r="D97" i="2"/>
  <c r="X96" i="2"/>
  <c r="V96" i="2"/>
  <c r="U96" i="2"/>
  <c r="O96" i="2"/>
  <c r="D96" i="2"/>
  <c r="X95" i="2"/>
  <c r="V95" i="2"/>
  <c r="U95" i="2"/>
  <c r="O95" i="2"/>
  <c r="D95" i="2"/>
  <c r="X94" i="2"/>
  <c r="V94" i="2"/>
  <c r="U94" i="2"/>
  <c r="O94" i="2"/>
  <c r="D94" i="2"/>
  <c r="X93" i="2"/>
  <c r="V93" i="2"/>
  <c r="U93" i="2"/>
  <c r="O93" i="2"/>
  <c r="D93" i="2"/>
  <c r="X80" i="2"/>
  <c r="V80" i="2"/>
  <c r="U80" i="2"/>
  <c r="O80" i="2"/>
  <c r="D80" i="2"/>
  <c r="X79" i="2"/>
  <c r="V79" i="2"/>
  <c r="U79" i="2"/>
  <c r="O79" i="2"/>
  <c r="D79" i="2"/>
  <c r="X78" i="2"/>
  <c r="V78" i="2"/>
  <c r="V90" i="2" s="1"/>
  <c r="Z90" i="2" s="1"/>
  <c r="U78" i="2"/>
  <c r="O78" i="2"/>
  <c r="D78" i="2"/>
  <c r="X77" i="2"/>
  <c r="V77" i="2"/>
  <c r="U77" i="2"/>
  <c r="O77" i="2"/>
  <c r="D77" i="2"/>
  <c r="X76" i="2"/>
  <c r="V76" i="2"/>
  <c r="U76" i="2"/>
  <c r="O76" i="2"/>
  <c r="D76" i="2"/>
  <c r="X75" i="2"/>
  <c r="V75" i="2"/>
  <c r="U75" i="2"/>
  <c r="O75" i="2"/>
  <c r="D75" i="2"/>
  <c r="X74" i="2"/>
  <c r="V74" i="2"/>
  <c r="U74" i="2"/>
  <c r="O74" i="2"/>
  <c r="D74" i="2"/>
  <c r="X73" i="2"/>
  <c r="V73" i="2"/>
  <c r="U73" i="2"/>
  <c r="O73" i="2"/>
  <c r="D73" i="2"/>
  <c r="X72" i="2"/>
  <c r="V72" i="2"/>
  <c r="U72" i="2"/>
  <c r="O72" i="2"/>
  <c r="D72" i="2"/>
  <c r="X71" i="2"/>
  <c r="V71" i="2"/>
  <c r="V83" i="2" s="1"/>
  <c r="Z83" i="2" s="1"/>
  <c r="U71" i="2"/>
  <c r="O71" i="2"/>
  <c r="D71" i="2"/>
  <c r="X70" i="2"/>
  <c r="V70" i="2"/>
  <c r="U70" i="2"/>
  <c r="O70" i="2"/>
  <c r="D70" i="2"/>
  <c r="X69" i="2"/>
  <c r="V69" i="2"/>
  <c r="U69" i="2"/>
  <c r="O69" i="2"/>
  <c r="D69" i="2"/>
  <c r="X62" i="2"/>
  <c r="V62" i="2"/>
  <c r="U62" i="2"/>
  <c r="O62" i="2"/>
  <c r="D62" i="2"/>
  <c r="X61" i="2"/>
  <c r="V61" i="2"/>
  <c r="U61" i="2"/>
  <c r="O61" i="2"/>
  <c r="D61" i="2"/>
  <c r="X60" i="2"/>
  <c r="V60" i="2"/>
  <c r="U60" i="2"/>
  <c r="O60" i="2"/>
  <c r="D60" i="2"/>
  <c r="X59" i="2"/>
  <c r="V59" i="2"/>
  <c r="V65" i="2" s="1"/>
  <c r="Z65" i="2" s="1"/>
  <c r="U59" i="2"/>
  <c r="O59" i="2"/>
  <c r="D59" i="2"/>
  <c r="X58" i="2"/>
  <c r="V58" i="2"/>
  <c r="U58" i="2"/>
  <c r="O58" i="2"/>
  <c r="D58" i="2"/>
  <c r="X57" i="2"/>
  <c r="V57" i="2"/>
  <c r="U57" i="2"/>
  <c r="O57" i="2"/>
  <c r="D57" i="2"/>
  <c r="X41" i="2"/>
  <c r="V41" i="2"/>
  <c r="U41" i="2"/>
  <c r="O41" i="2"/>
  <c r="D41" i="2"/>
  <c r="X40" i="2"/>
  <c r="V40" i="2"/>
  <c r="U40" i="2"/>
  <c r="O40" i="2"/>
  <c r="D40" i="2"/>
  <c r="X39" i="2"/>
  <c r="V39" i="2"/>
  <c r="U39" i="2"/>
  <c r="O39" i="2"/>
  <c r="D39" i="2"/>
  <c r="X38" i="2"/>
  <c r="V38" i="2"/>
  <c r="U38" i="2"/>
  <c r="O38" i="2"/>
  <c r="D38" i="2"/>
  <c r="X37" i="2"/>
  <c r="V37" i="2"/>
  <c r="U37" i="2"/>
  <c r="O37" i="2"/>
  <c r="D37" i="2"/>
  <c r="X36" i="2"/>
  <c r="V36" i="2"/>
  <c r="V51" i="2" s="1"/>
  <c r="Z51" i="2" s="1"/>
  <c r="U36" i="2"/>
  <c r="O36" i="2"/>
  <c r="D36" i="2"/>
  <c r="X35" i="2"/>
  <c r="V35" i="2"/>
  <c r="U35" i="2"/>
  <c r="O35" i="2"/>
  <c r="D35" i="2"/>
  <c r="X34" i="2"/>
  <c r="V34" i="2"/>
  <c r="U34" i="2"/>
  <c r="O34" i="2"/>
  <c r="D34" i="2"/>
  <c r="X33" i="2"/>
  <c r="V33" i="2"/>
  <c r="U33" i="2"/>
  <c r="O33" i="2"/>
  <c r="D33" i="2"/>
  <c r="X32" i="2"/>
  <c r="V32" i="2"/>
  <c r="U32" i="2"/>
  <c r="O32" i="2"/>
  <c r="D32" i="2"/>
  <c r="X31" i="2"/>
  <c r="V31" i="2"/>
  <c r="U31" i="2"/>
  <c r="O31" i="2"/>
  <c r="D31" i="2"/>
  <c r="X30" i="2"/>
  <c r="V30" i="2"/>
  <c r="U30" i="2"/>
  <c r="O30" i="2"/>
  <c r="D30" i="2"/>
  <c r="X29" i="2"/>
  <c r="V29" i="2"/>
  <c r="U29" i="2"/>
  <c r="O29" i="2"/>
  <c r="D29" i="2"/>
  <c r="X28" i="2"/>
  <c r="V28" i="2"/>
  <c r="V43" i="2" s="1"/>
  <c r="Z43" i="2" s="1"/>
  <c r="U28" i="2"/>
  <c r="O28" i="2"/>
  <c r="D28" i="2"/>
  <c r="X27" i="2"/>
  <c r="V27" i="2"/>
  <c r="U27" i="2"/>
  <c r="O27" i="2"/>
  <c r="D27" i="2"/>
  <c r="X25" i="2"/>
  <c r="V25" i="2"/>
  <c r="U25" i="2"/>
  <c r="Y25" i="2" s="1"/>
  <c r="O25" i="2"/>
  <c r="D25" i="2"/>
  <c r="X24" i="2"/>
  <c r="V24" i="2"/>
  <c r="U24" i="2"/>
  <c r="Y24" i="2" s="1"/>
  <c r="O24" i="2"/>
  <c r="D24" i="2"/>
  <c r="X23" i="2"/>
  <c r="V23" i="2"/>
  <c r="U23" i="2"/>
  <c r="Y23" i="2" s="1"/>
  <c r="O23" i="2"/>
  <c r="D23" i="2"/>
  <c r="X22" i="2"/>
  <c r="V22" i="2"/>
  <c r="U22" i="2"/>
  <c r="Y22" i="2" s="1"/>
  <c r="O22" i="2"/>
  <c r="D22" i="2"/>
  <c r="X21" i="2"/>
  <c r="V21" i="2"/>
  <c r="U21" i="2"/>
  <c r="Y21" i="2" s="1"/>
  <c r="O21" i="2"/>
  <c r="D21" i="2"/>
  <c r="X20" i="2"/>
  <c r="V20" i="2"/>
  <c r="W20" i="2" s="1"/>
  <c r="U20" i="2"/>
  <c r="Y20" i="2" s="1"/>
  <c r="O20" i="2"/>
  <c r="D20" i="2"/>
  <c r="X19" i="2"/>
  <c r="V19" i="2"/>
  <c r="U19" i="2"/>
  <c r="Y19" i="2" s="1"/>
  <c r="O19" i="2"/>
  <c r="D19" i="2"/>
  <c r="V18" i="2"/>
  <c r="Z18" i="2" s="1"/>
  <c r="U18" i="2"/>
  <c r="Y18" i="2" s="1"/>
  <c r="O18" i="2"/>
  <c r="D18" i="2"/>
  <c r="V17" i="2"/>
  <c r="Z17" i="2" s="1"/>
  <c r="U17" i="2"/>
  <c r="Y17" i="2" s="1"/>
  <c r="O17" i="2"/>
  <c r="D17" i="2"/>
  <c r="X16" i="2"/>
  <c r="V16" i="2"/>
  <c r="U16" i="2"/>
  <c r="Y16" i="2" s="1"/>
  <c r="O16" i="2"/>
  <c r="D16" i="2"/>
  <c r="X15" i="2"/>
  <c r="V15" i="2"/>
  <c r="U15" i="2"/>
  <c r="Y15" i="2" s="1"/>
  <c r="O15" i="2"/>
  <c r="D15" i="2"/>
  <c r="X14" i="2"/>
  <c r="V14" i="2"/>
  <c r="U14" i="2"/>
  <c r="Y14" i="2" s="1"/>
  <c r="O14" i="2"/>
  <c r="D14" i="2"/>
  <c r="Z13" i="2"/>
  <c r="AA13" i="2"/>
  <c r="U13" i="2"/>
  <c r="Y13" i="2" s="1"/>
  <c r="O13" i="2"/>
  <c r="D13" i="2"/>
  <c r="Z12" i="2"/>
  <c r="AA12" i="2"/>
  <c r="X12" i="2"/>
  <c r="O12" i="2"/>
  <c r="D12" i="2"/>
  <c r="Z11" i="2"/>
  <c r="AA11" i="2"/>
  <c r="U11" i="2"/>
  <c r="Y11" i="2" s="1"/>
  <c r="O11" i="2"/>
  <c r="D11" i="2"/>
  <c r="Z10" i="2"/>
  <c r="AA10" i="2"/>
  <c r="X10" i="2"/>
  <c r="O10" i="2"/>
  <c r="D10" i="2"/>
  <c r="Z9" i="2"/>
  <c r="AA9" i="2"/>
  <c r="X9" i="2"/>
  <c r="O9" i="2"/>
  <c r="D9" i="2"/>
  <c r="Z8" i="2"/>
  <c r="AA8" i="2"/>
  <c r="X8" i="2"/>
  <c r="O8" i="2"/>
  <c r="D8" i="2"/>
  <c r="Z7" i="2"/>
  <c r="AA7" i="2"/>
  <c r="X7" i="2"/>
  <c r="O7" i="2"/>
  <c r="D7" i="2"/>
  <c r="Z6" i="2"/>
  <c r="AA6" i="2"/>
  <c r="U6" i="2"/>
  <c r="Y6" i="2" s="1"/>
  <c r="O6" i="2"/>
  <c r="D6" i="2"/>
  <c r="Z5" i="2"/>
  <c r="AA5" i="2"/>
  <c r="U5" i="2"/>
  <c r="Y5" i="2" s="1"/>
  <c r="O5" i="2"/>
  <c r="D5" i="2"/>
  <c r="Z4" i="2"/>
  <c r="AA4" i="2"/>
  <c r="X4" i="2"/>
  <c r="O4" i="2"/>
  <c r="D4" i="2"/>
  <c r="Z3" i="2"/>
  <c r="AA3" i="2"/>
  <c r="U3" i="2"/>
  <c r="Y3" i="2" s="1"/>
  <c r="O3" i="2"/>
  <c r="D3" i="2"/>
  <c r="W22" i="2" l="1"/>
  <c r="AA22" i="2" s="1"/>
  <c r="Z15" i="2"/>
  <c r="W15" i="2"/>
  <c r="AA15" i="2" s="1"/>
  <c r="W19" i="2"/>
  <c r="AA19" i="2" s="1"/>
  <c r="Z14" i="2"/>
  <c r="W14" i="2"/>
  <c r="AA14" i="2" s="1"/>
  <c r="Z24" i="2"/>
  <c r="W24" i="2"/>
  <c r="AA24" i="2" s="1"/>
  <c r="W21" i="2"/>
  <c r="AA21" i="2" s="1"/>
  <c r="Z16" i="2"/>
  <c r="W16" i="2"/>
  <c r="AA16" i="2" s="1"/>
  <c r="Z25" i="2"/>
  <c r="W25" i="2"/>
  <c r="AA25" i="2" s="1"/>
  <c r="AA23" i="2"/>
  <c r="W23" i="2"/>
  <c r="Z119" i="2"/>
  <c r="V131" i="2"/>
  <c r="Z131" i="2" s="1"/>
  <c r="Y124" i="2"/>
  <c r="U136" i="2"/>
  <c r="Y136" i="2" s="1"/>
  <c r="Z127" i="2"/>
  <c r="V139" i="2"/>
  <c r="Z139" i="2" s="1"/>
  <c r="Y121" i="2"/>
  <c r="U133" i="2"/>
  <c r="Y133" i="2" s="1"/>
  <c r="Z124" i="2"/>
  <c r="V136" i="2"/>
  <c r="Z136" i="2" s="1"/>
  <c r="Y118" i="2"/>
  <c r="U130" i="2"/>
  <c r="Y130" i="2" s="1"/>
  <c r="W121" i="2"/>
  <c r="V133" i="2"/>
  <c r="Z133" i="2" s="1"/>
  <c r="Y126" i="2"/>
  <c r="U138" i="2"/>
  <c r="Y138" i="2" s="1"/>
  <c r="Y119" i="2"/>
  <c r="U131" i="2"/>
  <c r="Y131" i="2" s="1"/>
  <c r="Y123" i="2"/>
  <c r="U135" i="2"/>
  <c r="Y135" i="2" s="1"/>
  <c r="Y127" i="2"/>
  <c r="U139" i="2"/>
  <c r="Y139" i="2" s="1"/>
  <c r="Y120" i="2"/>
  <c r="U132" i="2"/>
  <c r="Y132" i="2" s="1"/>
  <c r="W123" i="2"/>
  <c r="V135" i="2"/>
  <c r="Z135" i="2" s="1"/>
  <c r="Y128" i="2"/>
  <c r="U140" i="2"/>
  <c r="Y140" i="2" s="1"/>
  <c r="Y117" i="2"/>
  <c r="U129" i="2"/>
  <c r="Y129" i="2" s="1"/>
  <c r="W120" i="2"/>
  <c r="V132" i="2"/>
  <c r="Z132" i="2" s="1"/>
  <c r="Y125" i="2"/>
  <c r="U137" i="2"/>
  <c r="Y137" i="2" s="1"/>
  <c r="W128" i="2"/>
  <c r="V140" i="2"/>
  <c r="Z140" i="2" s="1"/>
  <c r="W122" i="2"/>
  <c r="V134" i="2"/>
  <c r="Z134" i="2" s="1"/>
  <c r="Z117" i="2"/>
  <c r="V129" i="2"/>
  <c r="Y122" i="2"/>
  <c r="U134" i="2"/>
  <c r="Y134" i="2" s="1"/>
  <c r="Z125" i="2"/>
  <c r="V137" i="2"/>
  <c r="Z137" i="2" s="1"/>
  <c r="Y93" i="2"/>
  <c r="U105" i="2"/>
  <c r="Y105" i="2" s="1"/>
  <c r="Z96" i="2"/>
  <c r="V108" i="2"/>
  <c r="Z108" i="2" s="1"/>
  <c r="Y101" i="2"/>
  <c r="U113" i="2"/>
  <c r="Y113" i="2" s="1"/>
  <c r="Z104" i="2"/>
  <c r="V116" i="2"/>
  <c r="Z116" i="2" s="1"/>
  <c r="W93" i="2"/>
  <c r="V105" i="2"/>
  <c r="Z105" i="2" s="1"/>
  <c r="Y98" i="2"/>
  <c r="U110" i="2"/>
  <c r="Y110" i="2" s="1"/>
  <c r="W101" i="2"/>
  <c r="V113" i="2"/>
  <c r="Z113" i="2" s="1"/>
  <c r="Y99" i="2"/>
  <c r="U111" i="2"/>
  <c r="Y111" i="2" s="1"/>
  <c r="Y95" i="2"/>
  <c r="U107" i="2"/>
  <c r="Y107" i="2" s="1"/>
  <c r="Y103" i="2"/>
  <c r="U115" i="2"/>
  <c r="Y115" i="2" s="1"/>
  <c r="Z99" i="2"/>
  <c r="V111" i="2"/>
  <c r="Z111" i="2" s="1"/>
  <c r="Z95" i="2"/>
  <c r="V107" i="2"/>
  <c r="Z107" i="2" s="1"/>
  <c r="Y100" i="2"/>
  <c r="U112" i="2"/>
  <c r="Y112" i="2" s="1"/>
  <c r="W103" i="2"/>
  <c r="V115" i="2"/>
  <c r="Z115" i="2" s="1"/>
  <c r="Y96" i="2"/>
  <c r="U108" i="2"/>
  <c r="Y108" i="2" s="1"/>
  <c r="Y104" i="2"/>
  <c r="U116" i="2"/>
  <c r="Y116" i="2" s="1"/>
  <c r="Y97" i="2"/>
  <c r="U109" i="2"/>
  <c r="Y109" i="2" s="1"/>
  <c r="Z100" i="2"/>
  <c r="V112" i="2"/>
  <c r="Z112" i="2" s="1"/>
  <c r="Z94" i="2"/>
  <c r="V106" i="2"/>
  <c r="Z106" i="2" s="1"/>
  <c r="W102" i="2"/>
  <c r="V114" i="2"/>
  <c r="Z114" i="2" s="1"/>
  <c r="Y94" i="2"/>
  <c r="U106" i="2"/>
  <c r="Y106" i="2" s="1"/>
  <c r="W97" i="2"/>
  <c r="V109" i="2"/>
  <c r="Z109" i="2" s="1"/>
  <c r="Y102" i="2"/>
  <c r="U114" i="2"/>
  <c r="Y114" i="2" s="1"/>
  <c r="Y79" i="2"/>
  <c r="U91" i="2"/>
  <c r="Y91" i="2" s="1"/>
  <c r="Y76" i="2"/>
  <c r="U88" i="2"/>
  <c r="Y88" i="2" s="1"/>
  <c r="Z79" i="2"/>
  <c r="V91" i="2"/>
  <c r="Z91" i="2" s="1"/>
  <c r="Y73" i="2"/>
  <c r="U85" i="2"/>
  <c r="Y85" i="2" s="1"/>
  <c r="Z76" i="2"/>
  <c r="V88" i="2"/>
  <c r="Z88" i="2" s="1"/>
  <c r="W73" i="2"/>
  <c r="V85" i="2"/>
  <c r="Z85" i="2" s="1"/>
  <c r="Z70" i="2"/>
  <c r="V82" i="2"/>
  <c r="Z82" i="2" s="1"/>
  <c r="Y75" i="2"/>
  <c r="U87" i="2"/>
  <c r="Y87" i="2" s="1"/>
  <c r="Z74" i="2"/>
  <c r="V86" i="2"/>
  <c r="Z86" i="2" s="1"/>
  <c r="Y78" i="2"/>
  <c r="U90" i="2"/>
  <c r="Y90" i="2" s="1"/>
  <c r="Y72" i="2"/>
  <c r="U84" i="2"/>
  <c r="Y84" i="2" s="1"/>
  <c r="Z75" i="2"/>
  <c r="V87" i="2"/>
  <c r="Z87" i="2" s="1"/>
  <c r="Y80" i="2"/>
  <c r="U92" i="2"/>
  <c r="Y92" i="2" s="1"/>
  <c r="Y71" i="2"/>
  <c r="U83" i="2"/>
  <c r="Y83" i="2" s="1"/>
  <c r="Y69" i="2"/>
  <c r="U81" i="2"/>
  <c r="Y81" i="2" s="1"/>
  <c r="W72" i="2"/>
  <c r="V84" i="2"/>
  <c r="Z84" i="2" s="1"/>
  <c r="Y77" i="2"/>
  <c r="U89" i="2"/>
  <c r="Y89" i="2" s="1"/>
  <c r="W80" i="2"/>
  <c r="V92" i="2"/>
  <c r="Z92" i="2" s="1"/>
  <c r="Y70" i="2"/>
  <c r="U82" i="2"/>
  <c r="Y82" i="2" s="1"/>
  <c r="W69" i="2"/>
  <c r="V81" i="2"/>
  <c r="Z81" i="2" s="1"/>
  <c r="Y74" i="2"/>
  <c r="U86" i="2"/>
  <c r="Y86" i="2" s="1"/>
  <c r="W77" i="2"/>
  <c r="V89" i="2"/>
  <c r="Z89" i="2" s="1"/>
  <c r="W62" i="2"/>
  <c r="V68" i="2"/>
  <c r="Z68" i="2" s="1"/>
  <c r="Y57" i="2"/>
  <c r="U63" i="2"/>
  <c r="Y63" i="2" s="1"/>
  <c r="Z57" i="2"/>
  <c r="V63" i="2"/>
  <c r="Z63" i="2" s="1"/>
  <c r="Y61" i="2"/>
  <c r="U67" i="2"/>
  <c r="Y67" i="2" s="1"/>
  <c r="Y58" i="2"/>
  <c r="U64" i="2"/>
  <c r="Y64" i="2" s="1"/>
  <c r="W61" i="2"/>
  <c r="V67" i="2"/>
  <c r="Z67" i="2" s="1"/>
  <c r="W60" i="2"/>
  <c r="V66" i="2"/>
  <c r="Z66" i="2" s="1"/>
  <c r="Y59" i="2"/>
  <c r="U65" i="2"/>
  <c r="Y65" i="2" s="1"/>
  <c r="W58" i="2"/>
  <c r="V64" i="2"/>
  <c r="Z64" i="2" s="1"/>
  <c r="Y62" i="2"/>
  <c r="U68" i="2"/>
  <c r="Y68" i="2" s="1"/>
  <c r="Y60" i="2"/>
  <c r="U66" i="2"/>
  <c r="Y66" i="2" s="1"/>
  <c r="Z37" i="2"/>
  <c r="V52" i="2"/>
  <c r="Z52" i="2" s="1"/>
  <c r="Y31" i="2"/>
  <c r="U46" i="2"/>
  <c r="Y46" i="2" s="1"/>
  <c r="Z34" i="2"/>
  <c r="V49" i="2"/>
  <c r="Z49" i="2" s="1"/>
  <c r="Y39" i="2"/>
  <c r="U54" i="2"/>
  <c r="Y54" i="2" s="1"/>
  <c r="Y28" i="2"/>
  <c r="U43" i="2"/>
  <c r="Y43" i="2" s="1"/>
  <c r="W31" i="2"/>
  <c r="V46" i="2"/>
  <c r="Z46" i="2" s="1"/>
  <c r="Y36" i="2"/>
  <c r="U51" i="2"/>
  <c r="Y51" i="2" s="1"/>
  <c r="W39" i="2"/>
  <c r="V54" i="2"/>
  <c r="Z54" i="2" s="1"/>
  <c r="Y33" i="2"/>
  <c r="U48" i="2"/>
  <c r="Y48" i="2" s="1"/>
  <c r="Y41" i="2"/>
  <c r="U56" i="2"/>
  <c r="Y56" i="2" s="1"/>
  <c r="Y34" i="2"/>
  <c r="U49" i="2"/>
  <c r="Y49" i="2" s="1"/>
  <c r="Y30" i="2"/>
  <c r="U45" i="2"/>
  <c r="Y45" i="2" s="1"/>
  <c r="Z33" i="2"/>
  <c r="V48" i="2"/>
  <c r="Z48" i="2" s="1"/>
  <c r="Y38" i="2"/>
  <c r="U53" i="2"/>
  <c r="Y53" i="2" s="1"/>
  <c r="Z41" i="2"/>
  <c r="V56" i="2"/>
  <c r="Z56" i="2" s="1"/>
  <c r="W29" i="2"/>
  <c r="V44" i="2"/>
  <c r="Z44" i="2" s="1"/>
  <c r="Y27" i="2"/>
  <c r="U42" i="2"/>
  <c r="Y42" i="2" s="1"/>
  <c r="W30" i="2"/>
  <c r="V45" i="2"/>
  <c r="Z45" i="2" s="1"/>
  <c r="Y35" i="2"/>
  <c r="U50" i="2"/>
  <c r="Y50" i="2" s="1"/>
  <c r="W38" i="2"/>
  <c r="V53" i="2"/>
  <c r="Z53" i="2" s="1"/>
  <c r="Z27" i="2"/>
  <c r="V42" i="2"/>
  <c r="Z42" i="2" s="1"/>
  <c r="Y32" i="2"/>
  <c r="U47" i="2"/>
  <c r="Y47" i="2" s="1"/>
  <c r="W35" i="2"/>
  <c r="V50" i="2"/>
  <c r="Z50" i="2" s="1"/>
  <c r="Y40" i="2"/>
  <c r="U55" i="2"/>
  <c r="Y55" i="2" s="1"/>
  <c r="Y29" i="2"/>
  <c r="U44" i="2"/>
  <c r="Y44" i="2" s="1"/>
  <c r="Z32" i="2"/>
  <c r="V47" i="2"/>
  <c r="Z47" i="2" s="1"/>
  <c r="Y37" i="2"/>
  <c r="U52" i="2"/>
  <c r="Y52" i="2" s="1"/>
  <c r="Z40" i="2"/>
  <c r="V55" i="2"/>
  <c r="Z55" i="2" s="1"/>
  <c r="W27" i="2"/>
  <c r="W176" i="2"/>
  <c r="AA176" i="2" s="1"/>
  <c r="W117" i="2"/>
  <c r="Z177" i="2"/>
  <c r="W32" i="2"/>
  <c r="X5" i="2"/>
  <c r="Z35" i="2"/>
  <c r="W94" i="2"/>
  <c r="Z69" i="2"/>
  <c r="Z29" i="2"/>
  <c r="W75" i="2"/>
  <c r="Z30" i="2"/>
  <c r="Z103" i="2"/>
  <c r="U165" i="2"/>
  <c r="Y165" i="2" s="1"/>
  <c r="O165" i="2"/>
  <c r="W125" i="2"/>
  <c r="Z80" i="2"/>
  <c r="W95" i="2"/>
  <c r="Z122" i="2"/>
  <c r="Z19" i="2"/>
  <c r="W33" i="2"/>
  <c r="Z102" i="2"/>
  <c r="Z61" i="2"/>
  <c r="W74" i="2"/>
  <c r="Z60" i="2"/>
  <c r="W100" i="2"/>
  <c r="Z62" i="2"/>
  <c r="U9" i="2"/>
  <c r="Y9" i="2" s="1"/>
  <c r="X13" i="2"/>
  <c r="Z31" i="2"/>
  <c r="Z97" i="2"/>
  <c r="U169" i="2"/>
  <c r="Y169" i="2" s="1"/>
  <c r="V169" i="2"/>
  <c r="W169" i="2" s="1"/>
  <c r="AA169" i="2" s="1"/>
  <c r="O169" i="2"/>
  <c r="U173" i="2"/>
  <c r="Y173" i="2" s="1"/>
  <c r="V173" i="2"/>
  <c r="W173" i="2" s="1"/>
  <c r="AA173" i="2" s="1"/>
  <c r="O173" i="2"/>
  <c r="U153" i="2"/>
  <c r="Y153" i="2" s="1"/>
  <c r="V153" i="2"/>
  <c r="Z153" i="2" s="1"/>
  <c r="O153" i="2"/>
  <c r="U145" i="2"/>
  <c r="Y145" i="2" s="1"/>
  <c r="V145" i="2"/>
  <c r="Z145" i="2" s="1"/>
  <c r="O145" i="2"/>
  <c r="U149" i="2"/>
  <c r="Y149" i="2" s="1"/>
  <c r="O149" i="2"/>
  <c r="V149" i="2"/>
  <c r="Z149" i="2" s="1"/>
  <c r="Z38" i="2"/>
  <c r="U7" i="2"/>
  <c r="Y7" i="2" s="1"/>
  <c r="U8" i="2"/>
  <c r="Y8" i="2" s="1"/>
  <c r="Z21" i="2"/>
  <c r="U4" i="2"/>
  <c r="Y4" i="2" s="1"/>
  <c r="U12" i="2"/>
  <c r="Y12" i="2" s="1"/>
  <c r="Z22" i="2"/>
  <c r="Z123" i="2"/>
  <c r="V161" i="2"/>
  <c r="Z161" i="2" s="1"/>
  <c r="Z39" i="2"/>
  <c r="Z77" i="2"/>
  <c r="W18" i="2"/>
  <c r="AA18" i="2" s="1"/>
  <c r="O161" i="2"/>
  <c r="W178" i="2"/>
  <c r="AA178" i="2" s="1"/>
  <c r="Z120" i="2"/>
  <c r="O157" i="2"/>
  <c r="V165" i="2"/>
  <c r="W165" i="2" s="1"/>
  <c r="AA165" i="2" s="1"/>
  <c r="W37" i="2"/>
  <c r="W40" i="2"/>
  <c r="V157" i="2"/>
  <c r="Z157" i="2" s="1"/>
  <c r="W17" i="2"/>
  <c r="AA17" i="2" s="1"/>
  <c r="W57" i="2"/>
  <c r="Z58" i="2"/>
  <c r="X11" i="2"/>
  <c r="W36" i="2"/>
  <c r="Z36" i="2"/>
  <c r="W41" i="2"/>
  <c r="V147" i="2"/>
  <c r="U147" i="2"/>
  <c r="Y147" i="2" s="1"/>
  <c r="O147" i="2"/>
  <c r="U152" i="2"/>
  <c r="Y152" i="2" s="1"/>
  <c r="O152" i="2"/>
  <c r="V152" i="2"/>
  <c r="V174" i="2"/>
  <c r="U174" i="2"/>
  <c r="Y174" i="2" s="1"/>
  <c r="Z23" i="2"/>
  <c r="Z71" i="2"/>
  <c r="W71" i="2"/>
  <c r="Z118" i="2"/>
  <c r="W118" i="2"/>
  <c r="V162" i="2"/>
  <c r="U162" i="2"/>
  <c r="Y162" i="2" s="1"/>
  <c r="V167" i="2"/>
  <c r="U167" i="2"/>
  <c r="Y167" i="2" s="1"/>
  <c r="O167" i="2"/>
  <c r="U172" i="2"/>
  <c r="Y172" i="2" s="1"/>
  <c r="O172" i="2"/>
  <c r="V172" i="2"/>
  <c r="V150" i="2"/>
  <c r="U150" i="2"/>
  <c r="Y150" i="2" s="1"/>
  <c r="V155" i="2"/>
  <c r="U155" i="2"/>
  <c r="Y155" i="2" s="1"/>
  <c r="O155" i="2"/>
  <c r="U160" i="2"/>
  <c r="Y160" i="2" s="1"/>
  <c r="O160" i="2"/>
  <c r="V160" i="2"/>
  <c r="X3" i="2"/>
  <c r="X6" i="2"/>
  <c r="W28" i="2"/>
  <c r="Z28" i="2"/>
  <c r="W34" i="2"/>
  <c r="W59" i="2"/>
  <c r="Z59" i="2"/>
  <c r="W70" i="2"/>
  <c r="Z98" i="2"/>
  <c r="W98" i="2"/>
  <c r="V143" i="2"/>
  <c r="U143" i="2"/>
  <c r="Y143" i="2" s="1"/>
  <c r="O143" i="2"/>
  <c r="U148" i="2"/>
  <c r="Y148" i="2" s="1"/>
  <c r="O148" i="2"/>
  <c r="V148" i="2"/>
  <c r="O150" i="2"/>
  <c r="V170" i="2"/>
  <c r="U170" i="2"/>
  <c r="Y170" i="2" s="1"/>
  <c r="V175" i="2"/>
  <c r="U175" i="2"/>
  <c r="Y175" i="2" s="1"/>
  <c r="O175" i="2"/>
  <c r="V158" i="2"/>
  <c r="U158" i="2"/>
  <c r="Y158" i="2" s="1"/>
  <c r="V163" i="2"/>
  <c r="U163" i="2"/>
  <c r="Y163" i="2" s="1"/>
  <c r="O163" i="2"/>
  <c r="U168" i="2"/>
  <c r="Y168" i="2" s="1"/>
  <c r="O168" i="2"/>
  <c r="V168" i="2"/>
  <c r="V146" i="2"/>
  <c r="U146" i="2"/>
  <c r="Y146" i="2" s="1"/>
  <c r="V151" i="2"/>
  <c r="U151" i="2"/>
  <c r="Y151" i="2" s="1"/>
  <c r="O151" i="2"/>
  <c r="U156" i="2"/>
  <c r="Y156" i="2" s="1"/>
  <c r="O156" i="2"/>
  <c r="V156" i="2"/>
  <c r="O158" i="2"/>
  <c r="Z78" i="2"/>
  <c r="W78" i="2"/>
  <c r="Z126" i="2"/>
  <c r="W126" i="2"/>
  <c r="U144" i="2"/>
  <c r="Y144" i="2" s="1"/>
  <c r="O144" i="2"/>
  <c r="V144" i="2"/>
  <c r="V166" i="2"/>
  <c r="U166" i="2"/>
  <c r="Y166" i="2" s="1"/>
  <c r="V171" i="2"/>
  <c r="U171" i="2"/>
  <c r="Y171" i="2" s="1"/>
  <c r="O171" i="2"/>
  <c r="AA20" i="2"/>
  <c r="Z20" i="2"/>
  <c r="U10" i="2"/>
  <c r="Y10" i="2" s="1"/>
  <c r="V154" i="2"/>
  <c r="U154" i="2"/>
  <c r="Y154" i="2" s="1"/>
  <c r="V159" i="2"/>
  <c r="U159" i="2"/>
  <c r="Y159" i="2" s="1"/>
  <c r="O159" i="2"/>
  <c r="U164" i="2"/>
  <c r="Y164" i="2" s="1"/>
  <c r="O164" i="2"/>
  <c r="V164" i="2"/>
  <c r="O166" i="2"/>
  <c r="Z72" i="2"/>
  <c r="Z128" i="2"/>
  <c r="Z141" i="2"/>
  <c r="Z142" i="2"/>
  <c r="Z73" i="2"/>
  <c r="W76" i="2"/>
  <c r="Z93" i="2"/>
  <c r="W96" i="2"/>
  <c r="Z101" i="2"/>
  <c r="W104" i="2"/>
  <c r="Z121" i="2"/>
  <c r="W124" i="2"/>
  <c r="W79" i="2"/>
  <c r="W99" i="2"/>
  <c r="W119" i="2"/>
  <c r="W127" i="2"/>
  <c r="Z129" i="2" l="1"/>
  <c r="AA118" i="2"/>
  <c r="W130" i="2"/>
  <c r="AA130" i="2" s="1"/>
  <c r="AA120" i="2"/>
  <c r="W132" i="2"/>
  <c r="AA132" i="2" s="1"/>
  <c r="AA122" i="2"/>
  <c r="W134" i="2"/>
  <c r="AA134" i="2" s="1"/>
  <c r="AA121" i="2"/>
  <c r="W133" i="2"/>
  <c r="AA133" i="2" s="1"/>
  <c r="AA125" i="2"/>
  <c r="W137" i="2"/>
  <c r="AA137" i="2" s="1"/>
  <c r="AA117" i="2"/>
  <c r="W129" i="2"/>
  <c r="AA129" i="2" s="1"/>
  <c r="AA124" i="2"/>
  <c r="W136" i="2"/>
  <c r="AA136" i="2" s="1"/>
  <c r="AA128" i="2"/>
  <c r="W140" i="2"/>
  <c r="AA140" i="2" s="1"/>
  <c r="AA119" i="2"/>
  <c r="W131" i="2"/>
  <c r="AA131" i="2" s="1"/>
  <c r="AA127" i="2"/>
  <c r="W139" i="2"/>
  <c r="AA139" i="2" s="1"/>
  <c r="AA126" i="2"/>
  <c r="W138" i="2"/>
  <c r="AA138" i="2" s="1"/>
  <c r="AA123" i="2"/>
  <c r="W135" i="2"/>
  <c r="AA135" i="2" s="1"/>
  <c r="AA102" i="2"/>
  <c r="W114" i="2"/>
  <c r="AA114" i="2" s="1"/>
  <c r="AA101" i="2"/>
  <c r="W113" i="2"/>
  <c r="AA113" i="2" s="1"/>
  <c r="AA104" i="2"/>
  <c r="W116" i="2"/>
  <c r="AA116" i="2" s="1"/>
  <c r="AA98" i="2"/>
  <c r="W110" i="2"/>
  <c r="AA110" i="2" s="1"/>
  <c r="AA96" i="2"/>
  <c r="W108" i="2"/>
  <c r="AA108" i="2" s="1"/>
  <c r="AA100" i="2"/>
  <c r="W112" i="2"/>
  <c r="AA112" i="2" s="1"/>
  <c r="AA97" i="2"/>
  <c r="W109" i="2"/>
  <c r="AA109" i="2" s="1"/>
  <c r="AA103" i="2"/>
  <c r="W115" i="2"/>
  <c r="AA115" i="2" s="1"/>
  <c r="AA95" i="2"/>
  <c r="W107" i="2"/>
  <c r="AA107" i="2" s="1"/>
  <c r="AA94" i="2"/>
  <c r="W106" i="2"/>
  <c r="AA106" i="2" s="1"/>
  <c r="AA99" i="2"/>
  <c r="W111" i="2"/>
  <c r="AA111" i="2" s="1"/>
  <c r="AA93" i="2"/>
  <c r="W105" i="2"/>
  <c r="AA105" i="2" s="1"/>
  <c r="AA69" i="2"/>
  <c r="W81" i="2"/>
  <c r="AA81" i="2" s="1"/>
  <c r="AA78" i="2"/>
  <c r="W90" i="2"/>
  <c r="AA90" i="2" s="1"/>
  <c r="AA74" i="2"/>
  <c r="W86" i="2"/>
  <c r="AA86" i="2" s="1"/>
  <c r="AA77" i="2"/>
  <c r="W89" i="2"/>
  <c r="AA89" i="2" s="1"/>
  <c r="AA80" i="2"/>
  <c r="W92" i="2"/>
  <c r="AA92" i="2" s="1"/>
  <c r="AA73" i="2"/>
  <c r="W85" i="2"/>
  <c r="AA85" i="2" s="1"/>
  <c r="AA70" i="2"/>
  <c r="W82" i="2"/>
  <c r="AA82" i="2" s="1"/>
  <c r="AA76" i="2"/>
  <c r="W88" i="2"/>
  <c r="AA88" i="2" s="1"/>
  <c r="AA71" i="2"/>
  <c r="W83" i="2"/>
  <c r="AA83" i="2" s="1"/>
  <c r="AA72" i="2"/>
  <c r="W84" i="2"/>
  <c r="AA84" i="2" s="1"/>
  <c r="AA75" i="2"/>
  <c r="W87" i="2"/>
  <c r="AA87" i="2" s="1"/>
  <c r="AA79" i="2"/>
  <c r="W91" i="2"/>
  <c r="AA91" i="2" s="1"/>
  <c r="AA59" i="2"/>
  <c r="W65" i="2"/>
  <c r="AA65" i="2" s="1"/>
  <c r="AA57" i="2"/>
  <c r="W63" i="2"/>
  <c r="AA63" i="2" s="1"/>
  <c r="AA60" i="2"/>
  <c r="W66" i="2"/>
  <c r="AA66" i="2" s="1"/>
  <c r="AA61" i="2"/>
  <c r="W67" i="2"/>
  <c r="AA67" i="2" s="1"/>
  <c r="AA58" i="2"/>
  <c r="W64" i="2"/>
  <c r="AA64" i="2" s="1"/>
  <c r="AA62" i="2"/>
  <c r="W68" i="2"/>
  <c r="AA68" i="2" s="1"/>
  <c r="AA38" i="2"/>
  <c r="W53" i="2"/>
  <c r="AA53" i="2" s="1"/>
  <c r="AA29" i="2"/>
  <c r="W44" i="2"/>
  <c r="AA44" i="2" s="1"/>
  <c r="AA39" i="2"/>
  <c r="W54" i="2"/>
  <c r="AA54" i="2" s="1"/>
  <c r="AA41" i="2"/>
  <c r="W56" i="2"/>
  <c r="AA56" i="2" s="1"/>
  <c r="AA33" i="2"/>
  <c r="W48" i="2"/>
  <c r="AA48" i="2" s="1"/>
  <c r="AA32" i="2"/>
  <c r="W47" i="2"/>
  <c r="AA47" i="2" s="1"/>
  <c r="AA35" i="2"/>
  <c r="W50" i="2"/>
  <c r="AA50" i="2" s="1"/>
  <c r="AA28" i="2"/>
  <c r="W43" i="2"/>
  <c r="AA43" i="2" s="1"/>
  <c r="AA36" i="2"/>
  <c r="W51" i="2"/>
  <c r="AA51" i="2" s="1"/>
  <c r="AA40" i="2"/>
  <c r="W55" i="2"/>
  <c r="AA55" i="2" s="1"/>
  <c r="AA30" i="2"/>
  <c r="W45" i="2"/>
  <c r="AA45" i="2" s="1"/>
  <c r="AA31" i="2"/>
  <c r="W46" i="2"/>
  <c r="AA46" i="2" s="1"/>
  <c r="AA34" i="2"/>
  <c r="W49" i="2"/>
  <c r="AA49" i="2" s="1"/>
  <c r="AA37" i="2"/>
  <c r="W52" i="2"/>
  <c r="AA52" i="2" s="1"/>
  <c r="AA27" i="2"/>
  <c r="W42" i="2"/>
  <c r="AA42" i="2" s="1"/>
  <c r="Z165" i="2"/>
  <c r="Z169" i="2"/>
  <c r="W161" i="2"/>
  <c r="AA161" i="2" s="1"/>
  <c r="Z173" i="2"/>
  <c r="W149" i="2"/>
  <c r="AA149" i="2" s="1"/>
  <c r="W157" i="2"/>
  <c r="AA157" i="2" s="1"/>
  <c r="W145" i="2"/>
  <c r="AA145" i="2" s="1"/>
  <c r="W153" i="2"/>
  <c r="AA153" i="2" s="1"/>
  <c r="W166" i="2"/>
  <c r="AA166" i="2" s="1"/>
  <c r="Z166" i="2"/>
  <c r="W151" i="2"/>
  <c r="AA151" i="2" s="1"/>
  <c r="Z151" i="2"/>
  <c r="W162" i="2"/>
  <c r="AA162" i="2" s="1"/>
  <c r="Z162" i="2"/>
  <c r="Z144" i="2"/>
  <c r="W144" i="2"/>
  <c r="AA144" i="2" s="1"/>
  <c r="Z156" i="2"/>
  <c r="W156" i="2"/>
  <c r="AA156" i="2" s="1"/>
  <c r="W170" i="2"/>
  <c r="AA170" i="2" s="1"/>
  <c r="Z170" i="2"/>
  <c r="Z152" i="2"/>
  <c r="W152" i="2"/>
  <c r="AA152" i="2" s="1"/>
  <c r="W174" i="2"/>
  <c r="AA174" i="2" s="1"/>
  <c r="Z174" i="2"/>
  <c r="W147" i="2"/>
  <c r="AA147" i="2" s="1"/>
  <c r="Z147" i="2"/>
  <c r="W159" i="2"/>
  <c r="AA159" i="2" s="1"/>
  <c r="Z159" i="2"/>
  <c r="W146" i="2"/>
  <c r="AA146" i="2" s="1"/>
  <c r="Z146" i="2"/>
  <c r="W163" i="2"/>
  <c r="AA163" i="2" s="1"/>
  <c r="Z163" i="2"/>
  <c r="W143" i="2"/>
  <c r="AA143" i="2" s="1"/>
  <c r="Z143" i="2"/>
  <c r="W155" i="2"/>
  <c r="AA155" i="2" s="1"/>
  <c r="Z155" i="2"/>
  <c r="Z160" i="2"/>
  <c r="W160" i="2"/>
  <c r="AA160" i="2" s="1"/>
  <c r="Z164" i="2"/>
  <c r="W164" i="2"/>
  <c r="AA164" i="2" s="1"/>
  <c r="Z168" i="2"/>
  <c r="W168" i="2"/>
  <c r="AA168" i="2" s="1"/>
  <c r="Z148" i="2"/>
  <c r="W148" i="2"/>
  <c r="AA148" i="2" s="1"/>
  <c r="W154" i="2"/>
  <c r="AA154" i="2" s="1"/>
  <c r="Z154" i="2"/>
  <c r="W158" i="2"/>
  <c r="AA158" i="2" s="1"/>
  <c r="Z158" i="2"/>
  <c r="W171" i="2"/>
  <c r="AA171" i="2" s="1"/>
  <c r="Z171" i="2"/>
  <c r="W150" i="2"/>
  <c r="AA150" i="2" s="1"/>
  <c r="Z150" i="2"/>
  <c r="W167" i="2"/>
  <c r="AA167" i="2" s="1"/>
  <c r="Z167" i="2"/>
  <c r="W175" i="2"/>
  <c r="AA175" i="2" s="1"/>
  <c r="Z175" i="2"/>
  <c r="Z172" i="2"/>
  <c r="W172" i="2"/>
  <c r="AA172" i="2" s="1"/>
  <c r="W62" i="1" l="1"/>
  <c r="W61" i="1"/>
  <c r="W60" i="1"/>
  <c r="Q50" i="1"/>
  <c r="Z49" i="1"/>
  <c r="Z48" i="1"/>
  <c r="Q48" i="1"/>
  <c r="Z47" i="1"/>
  <c r="Z46" i="1"/>
  <c r="Z45" i="1"/>
  <c r="Z44" i="1"/>
  <c r="Z43" i="1"/>
  <c r="V42" i="1"/>
  <c r="V41" i="1"/>
  <c r="Z37" i="1"/>
  <c r="Z36" i="1"/>
  <c r="Z31" i="1"/>
  <c r="Z30" i="1"/>
  <c r="Z25" i="1"/>
  <c r="Z24" i="1"/>
  <c r="Z21" i="1" l="1"/>
  <c r="Z16" i="1"/>
  <c r="Z15" i="1"/>
  <c r="Z14" i="1"/>
  <c r="Z11" i="1"/>
  <c r="Z12" i="1"/>
  <c r="Z10" i="1"/>
  <c r="Z6" i="1"/>
  <c r="Z7" i="1"/>
  <c r="Z4" i="1" l="1"/>
  <c r="Z5" i="1"/>
  <c r="Z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tc={80AF2591-86FF-4446-9057-995B9E42D8E9}</author>
    <author>tc={A8BD41BE-D855-4E38-9CA3-A8F34DDC222A}</author>
    <author>tc={DDE7384B-5D9B-4299-BD6B-07255D0D5F8D}</author>
    <author>tc={60D9EAA8-5F5B-41AE-93A6-99F43CE02053}</author>
    <author>tc={623C534B-F3F9-483F-9B57-6F55D6D3E3D6}</author>
    <author>tc={D3252924-37DA-40AD-8E50-85E7A07FB42E}</author>
    <author>tc={A7D4ED8F-5C38-456E-8F9A-F48A5E2B4CD2}</author>
    <author>tc={7AA112C9-04E3-4AB9-9A9B-F76001BD3127}</author>
    <author>tc={1632D30F-15B8-4158-A242-1CF47AA2A831}</author>
    <author>tc={AD398716-C214-4C47-B72D-D4C9B77742DB}</author>
    <author>tc={BC451F02-5757-468E-B8C9-04CDA50C46D4}</author>
    <author>tc={1E63E707-497F-4D92-851D-8DA418665C88}</author>
    <author>tc={9E44296B-72B1-46F7-B509-986F848E9DED}</author>
    <author>tc={34604A75-7035-4571-8799-88A71CC49DDB}</author>
    <author>tc={B657E4A8-6D9B-487D-8C44-EA58C2303D41}</author>
    <author>tc={65969549-52B7-44ED-835F-AF5351857CD5}</author>
    <author>tc={E873BB03-D33E-4E31-9443-E622E36C8BC3}</author>
    <author>tc={1DC63B73-1957-4CCF-9E25-1AA960C46CB5}</author>
    <author>tc={D9C7860B-7639-4816-A431-5E7B74A5B741}</author>
    <author>tc={8C9D047C-4EAC-4A46-BD0F-511327032537}</author>
    <author>tc={FE0FBA80-D5CA-4874-A131-29C3F0C554D4}</author>
    <author>tc={D6E1B2E5-AEC5-4764-A0C0-97C8710CE84E}</author>
    <author>tc={E5D1716C-2D68-49C7-B5ED-363903D96F7D}</author>
    <author>tc={D645D7FD-0056-4CA7-BC8E-71B63A990D45}</author>
    <author>tc={0B0BAD0B-CF0A-4B46-85C1-6C780EEA2F42}</author>
    <author>tc={D74E28EC-2802-42F8-B7DB-515E0D7F81FD}</author>
    <author>tc={E9C5E3B3-59A2-4932-9B1B-0B2CA5E7037E}</author>
    <author>tc={F9ABF4C1-CBB8-432C-B99F-17EE0D021419}</author>
    <author>tc={CDB5A625-6A67-4AD0-9DD6-AFCDFAC05C21}</author>
    <author>tc={0095147D-5DAC-44BB-80E6-6C078C3F1CF4}</author>
    <author>tc={BEDAC2D9-9630-4063-AF7B-EBE69E0E913F}</author>
    <author>tc={C708577D-EF5D-4DD9-8109-A265103B60D8}</author>
    <author>tc={6E63E205-4F88-4A08-847E-B0E51F34672F}</author>
    <author>tc={0F42019E-D2E1-4E84-9E08-DFB27320B7C0}</author>
    <author>tc={19138D94-C84E-45C7-A7D0-8EF97F5AE7E3}</author>
    <author>tc={5108C987-9A1B-4C05-BFCC-E2A9B3B128D5}</author>
    <author>tc={8EC1C765-B1E6-4125-B56A-1C3ADF491272}</author>
    <author>tc={D65BCBCD-3109-45F3-A998-AEC5B529AC70}</author>
    <author>tc={1FB0B63E-26BA-4FCE-90A3-0E59753DFDFB}</author>
    <author>tc={B7C221D4-F3D4-46CA-B232-5230F93D97C5}</author>
    <author>tc={F75AA5F9-7FEB-419C-976F-2EF62AADDAB6}</author>
    <author>tc={4AD6AFE2-479C-4174-9A4A-39E6799B431A}</author>
    <author>tc={446476D8-2CC9-42BC-84CE-2DF112BC1160}</author>
    <author>tc={F90C04C1-4260-4D7C-AE40-8AB4044D4559}</author>
    <author>tc={1044F9D0-B4E2-4BA4-A90D-CDF3E2F004D3}</author>
    <author>tc={D25BC4A8-51FB-46F0-93EC-B4A059FFB574}</author>
    <author>tc={77C7FA1A-4762-4C6D-A6EB-B17DDD79EE14}</author>
    <author>tc={C6B2C7FD-0769-4F2E-B4FE-F8518C6BCA8C}</author>
    <author>tc={D6921062-F22F-4D16-9664-21B5CAEF50E1}</author>
    <author>tc={21DE704C-E5E1-4421-A920-B639DDFAA162}</author>
    <author>tc={1597B1CE-E88D-478D-8B1E-BEC1A2DEE7A1}</author>
    <author>tc={A72D3B1A-A62C-4B74-ABEA-6BC303B3D87D}</author>
    <author>tc={D046B94F-3C08-430F-BA68-EA9FB5781AE8}</author>
    <author>tc={EA56B2CA-5A7C-4A1A-9495-6E3834F65CA0}</author>
    <author>tc={8C93EBA5-8B67-47B6-A140-66CA4294C3CB}</author>
    <author>tc={2F755258-9362-4886-9F18-39981B4F71ED}</author>
    <author>tc={E21E3376-A0A5-41A0-9518-3EBF6D776C92}</author>
    <author>tc={C3B4502E-397B-459E-AB43-AA8B35AF77E3}</author>
    <author>tc={DCF70995-A8E1-4F80-B8D7-6FB19AC20CC1}</author>
    <author>tc={C527B711-22CD-418D-AB79-5727B6C8BC7A}</author>
    <author>tc={8E0A63BE-F13E-41AD-B1D2-A1A93A030C4C}</author>
    <author>tc={E4892F80-C29E-4395-A0AC-60EEEFDC962F}</author>
    <author>tc={C5CB21A3-70B3-4770-A981-328057B788E9}</author>
    <author>tc={A4A4E419-C1E0-428B-8E4A-15E32BAED2A8}</author>
    <author>tc={43BD3C21-BBF9-4667-86B6-47179B76E4B2}</author>
    <author>tc={89793473-30EF-4721-BEE6-345E24F9C135}</author>
    <author>tc={258116F4-0492-4FD3-9CC2-5A620B728D9A}</author>
    <author>tc={888FA544-1B01-4CC7-B0AF-5B274419A501}</author>
    <author>tc={3E00528A-4650-4391-99E3-408A81201018}</author>
    <author>tc={50DBD87E-FB22-40FB-95E5-6398242308DF}</author>
    <author>tc={2CEAE64D-41BA-4E96-939D-AA989923E092}</author>
    <author>tc={71A91FF7-4FA1-44BF-A168-9BB87395070A}</author>
    <author>tc={AC0BB08C-B483-48BF-B518-192478A1D803}</author>
    <author>tc={CC51B2D6-F0FA-412F-9F56-1E1D5E6DDB30}</author>
    <author>tc={9354E3D6-4DCB-407A-9BBE-ABB8DEDC23CB}</author>
    <author>tc={11717F03-1DD6-4B78-95B9-B8D21C9631ED}</author>
    <author>tc={6CDA791D-A8DD-4A36-BDAE-CB7F75CE4D37}</author>
    <author>tc={86218237-4EC4-48D6-90F4-481D080947A7}</author>
    <author>tc={2BAE6BE0-89A9-4DBC-BA9A-12C669F6CDC8}</author>
    <author>tc={BB2715A7-5FCF-404C-80BA-CCC0631F12A1}</author>
    <author>tc={B058ADC0-483C-48AF-AB33-2A05B19DC200}</author>
    <author>tc={BEB19DCB-B6A5-43B6-B218-8985137FC7E9}</author>
    <author>tc={A313A28A-D6AA-4140-B61A-0B3A88233A84}</author>
    <author>tc={CC5DA1A6-211E-4315-943F-630EB2B811BF}</author>
    <author>tc={105FB133-ECB4-4787-B2DD-A06121224126}</author>
    <author>tc={86356147-81F0-4D3E-80EF-FD8D71F96367}</author>
    <author>tc={1C5235A1-85BA-43D0-9BF3-AEA7CB340B22}</author>
    <author>tc={B5237685-CDE3-434B-AB72-E8CF710023E6}</author>
    <author>tc={FDE69541-33BE-4D71-B602-DB0253731BFC}</author>
    <author>tc={923501A0-4F14-4A76-8AD3-7A2659050310}</author>
    <author>tc={57EA561C-59EF-427E-9479-C55D749D6806}</author>
    <author>tc={24891338-F9C9-4127-BC5E-961063762DD9}</author>
    <author>tc={FBFEC75B-106D-43B1-9CA8-89EDDAD48147}</author>
    <author>tc={C50AE702-B373-49F0-90D7-329E610F965D}</author>
    <author>tc={2F5ED969-335D-4CB6-9BCD-89E7271CCED8}</author>
    <author>tc={3DA5CE40-8890-48A2-A4A9-83645F2184F6}</author>
    <author>tc={981F5718-A9F3-4167-821E-7240A6D197ED}</author>
    <author>tc={F93B533A-3682-46F5-A9CE-968F95E45232}</author>
    <author>tc={56F1B77B-82CF-4B36-B646-E98F5AE3DBF4}</author>
    <author>tc={630C2BEB-8247-455C-B536-8855F79FBEA3}</author>
    <author>tc={F31E9C16-D4D9-47F8-8FD1-5EA86081D476}</author>
    <author>tc={F20907D4-A898-45BD-AE54-40068322FA67}</author>
    <author>tc={90D86809-0027-4266-8D1C-14FCDA830426}</author>
    <author>tc={0D6BFA6A-E4C3-4230-BC81-3168037B3F44}</author>
    <author>tc={22DB89E5-8552-4141-9BE5-FD13E082697B}</author>
    <author>tc={9627DA21-8568-415E-98C6-F25348B23D45}</author>
    <author>tc={B734AD01-8563-4CB3-B897-9199611209BD}</author>
    <author>tc={C94A63B7-9356-4E0C-8CCD-A2E68071336F}</author>
    <author>tc={53EFE934-A3C9-4C48-BAEF-E247DB51A9DF}</author>
    <author>tc={3611CD2F-7986-40CB-9EB4-C173FAC7D64A}</author>
    <author>tc={6398C4DA-B07E-4F88-ACA7-ED491F8724D7}</author>
    <author>tc={0C8AD0C6-D7F7-4E6B-9452-1B496D432C47}</author>
    <author>tc={B4EF2A8E-D576-4BE6-8D76-E6FBF6760F99}</author>
    <author>tc={BD47B02C-3282-411B-AE2B-394DDCF89A70}</author>
    <author>tc={1CB4F412-6C88-4782-B264-AF1D81DC3822}</author>
    <author>tc={083B1A03-D34D-432D-A301-7ABBE6A34155}</author>
    <author>tc={4ED8AD71-7264-4609-B409-F890BB503C64}</author>
    <author>tc={4447E516-88C0-4BA3-B161-3B81F8D5B60F}</author>
    <author>tc={E9838604-B637-4EDF-89DA-6A630E5092C7}</author>
    <author>tc={6E4E4213-2755-4D81-B7B1-1745539DA985}</author>
    <author>tc={0753A8C5-D364-4986-8863-54E1EC170B3D}</author>
    <author>tc={4F82A085-834D-4BA5-87EE-FC8A416C31C2}</author>
    <author>tc={8B3E1742-0E86-45CA-8EBC-E118C5989C2B}</author>
    <author>tc={9B2B90D3-8D1A-4A2E-8DFD-7BCAE500534A}</author>
    <author>tc={7A673AD5-A8D6-43F5-953D-2E8FD5D576A6}</author>
    <author>tc={2293B66E-3588-4D42-AD3E-B6F577F99F98}</author>
    <author>tc={A638BABB-3894-4763-B859-1B2A940F109E}</author>
    <author>tc={663C481D-9E3B-430B-A20A-A44C36D07F81}</author>
    <author>tc={8BACBA08-E230-4F85-903E-7FB9076A6833}</author>
    <author>tc={33AF1F44-9B96-4562-8F22-621606E56295}</author>
    <author>tc={6010B8E0-6250-4C36-A2B1-B9EA9538D2D0}</author>
    <author>tc={CA64A369-9445-4852-AFC8-FA8FB0E456A9}</author>
    <author>tc={91CD6194-6697-4179-AEAF-B5696E2C2AFE}</author>
    <author>tc={FC3418E7-92BE-4ACA-8D70-2C1BEA284171}</author>
    <author>tc={B469F9C9-7F9A-4161-98B8-072345FC8A3E}</author>
    <author>tc={24FA6FE5-7387-4134-874E-07A820E2D810}</author>
    <author>tc={0783F59E-4621-46BA-9859-5A92C4887EF0}</author>
    <author>tc={88A5DC7D-941A-40CF-983A-4F215683229F}</author>
    <author>tc={71E02A0D-A164-4135-B386-A613E8D15E99}</author>
    <author>tc={286D4D40-652B-4651-8BFF-FC9854384B0D}</author>
    <author>tc={289E94C5-CE02-410E-8A48-7DEF5F237173}</author>
    <author>tc={F2CC4A39-26C1-4F7C-A1E9-D0D5B581E35F}</author>
    <author>tc={15239592-CB6E-430C-9222-A076CD40A48A}</author>
    <author>tc={84C3C1AA-0401-48D4-8027-FEF5D3DBFD82}</author>
    <author>tc={F8E93709-760F-4B09-8075-6837F7A9B946}</author>
    <author>tc={5504468F-A554-4FF4-9D10-279F1622BAFF}</author>
    <author>tc={D0FAB09A-3AB9-4BC2-8AAE-10EFD2CBF814}</author>
    <author>tc={552404F1-B67A-48F2-A438-078968B0B4D7}</author>
    <author>tc={FBE1D525-2BA7-451A-892B-DD32B824DA25}</author>
    <author>tc={CC699E2C-F01F-4C1A-A37B-0CD262283C96}</author>
    <author>tc={10F31E19-E113-4438-BDC5-793F79F05306}</author>
    <author>tc={79C77FAB-FC1F-4780-9C66-96C98BBEF0A8}</author>
    <author>tc={500582F8-7755-427C-B019-011DBF9688EA}</author>
    <author>tc={4C129D91-2138-46A7-98A7-5FA3211D4DAA}</author>
    <author>tc={08FFA8BB-3D53-450B-BC40-86558754DD50}</author>
    <author>tc={59B2B577-8DB0-4E6B-AD83-7795818634D9}</author>
    <author>tc={C8B40CA1-44CA-4073-85C6-917F97D0F61B}</author>
    <author>tc={0F15AF6A-1C47-48F2-9964-D5286D78EA40}</author>
    <author>tc={CA830E5E-9156-4E4B-86A1-672D3DF9C35D}</author>
    <author>tc={C14CC9CF-AE5E-4BB3-876B-9DF5CD8F4A3E}</author>
    <author>tc={0D99D2AC-8CFC-464E-8515-96C9A3EC15A7}</author>
    <author>tc={1D98F920-6C93-4A1E-A1D2-678F0AD1861E}</author>
    <author>tc={5CD1093B-C254-40DA-A39D-8B2E144E253C}</author>
    <author>tc={F494F4DB-EC36-40E0-9875-E15884BA674B}</author>
    <author>tc={1EB02F3C-A0FA-4C6E-AF8B-06F5A919A5A2}</author>
    <author>tc={4E62DD59-3A1D-4889-BACB-F6441007B01A}</author>
    <author>tc={F0CE34FB-E321-4266-9C8B-42BAE2EB0000}</author>
    <author>tc={C08A66EC-13EA-47AB-A6EA-AA40A48C7ACD}</author>
    <author>tc={C8DF8641-E1B4-49C1-9296-E1562123734D}</author>
    <author>tc={4D55624A-3B7F-4368-BF4B-A8889793D95A}</author>
    <author>tc={4283FD82-F17E-46EC-B78A-1286118B25F6}</author>
    <author>tc={A8D9EBE8-5C12-4E4F-9B78-5B6846B5563F}</author>
    <author>tc={4570650D-E102-4EBB-B99F-5D0C1AAA7665}</author>
    <author>tc={12B3FEB6-DC8D-4F62-9CB5-D91D750CE22D}</author>
    <author>tc={0AE5643E-A9F6-43B5-98F5-401FB56BE69D}</author>
    <author>tc={F51F5532-ED7D-499D-8489-68F24B1C317C}</author>
    <author>tc={F3B8FDAB-B929-465E-9E28-E44E0C167816}</author>
    <author>tc={B4D246D9-C76C-4911-BF5D-29491D7B28C3}</author>
    <author>tc={0416B62C-8123-43C2-B254-5B3980514FE2}</author>
    <author>tc={64D10A28-DDB0-4EF6-98D3-BB7A3A1BF42C}</author>
    <author>tc={3E4C684F-F3D9-489F-AAAA-A36258337C79}</author>
    <author>tc={2793B59B-4E1B-4611-801F-49C68D2483A1}</author>
    <author>tc={7B7F7384-1E82-48D4-A126-36C24914A727}</author>
    <author>tc={F52486A9-B094-4014-86EA-58B995B7ED76}</author>
    <author>tc={B0F98EE1-05DB-4AEA-B71C-83DD675CB7FB}</author>
    <author>tc={0CCEA96E-972F-4249-AC89-05E7E5653CFA}</author>
    <author>tc={0C06866F-6913-40D2-9D5E-CE0E9003CAA7}</author>
    <author>tc={ED20DFAC-3405-44E1-8B7A-67C480C7C47E}</author>
    <author>tc={3009B20D-0D15-4873-B3C0-1A0B4FE542E8}</author>
    <author>tc={58F7BB4D-981F-4C4C-BE86-9868F35CB563}</author>
    <author>tc={D45190F7-1155-4DB5-90D8-8D745726A89F}</author>
    <author>tc={F275A212-1E77-48CF-B28B-5289601D7DC2}</author>
    <author>tc={43A2A71B-A772-45C2-AC43-2A96CCA26785}</author>
    <author>tc={6DD9CC20-75B0-425E-9765-DF7BB5017D9F}</author>
    <author>tc={F01CF9AB-D7F2-49C9-B105-41A79FF8D5D5}</author>
    <author>tc={5FAAD86C-16A5-4244-B311-321AC2C4E222}</author>
    <author>tc={A5E02285-286A-4F61-87BE-29D868AD3E20}</author>
    <author>tc={373C07F6-E26F-4EAE-8D44-353C5A8F187A}</author>
    <author>tc={1A92BBFF-9EEB-45EB-B698-0BC4D89E64FD}</author>
    <author>tc={8B59DE99-0376-4B92-BF82-B144F53B3E39}</author>
    <author>tc={5A3EB5FC-9BE5-4D50-AFD8-C7A7FB6CD187}</author>
    <author>tc={DB6E2972-DF40-4DD9-906A-DC8B0CDAEAE1}</author>
    <author>tc={A3C3F7A1-9B47-4417-97A7-F2512BAF9396}</author>
    <author>tc={8E738C04-0F03-488B-AD1B-75A6985EEC2B}</author>
    <author>tc={E5DDDEEB-325C-4730-A250-59B57BFC1173}</author>
    <author>tc={F179F3B8-A7AE-4C16-87F7-5877309F1DAE}</author>
    <author>tc={2C418478-009E-446E-B6A2-3FEDF83DE4E5}</author>
    <author>tc={0C8F066D-BCD3-4B7F-AE3D-3D295C3876E2}</author>
    <author>tc={E2FC4D90-FB23-44D3-B354-3C8F8E9C5B97}</author>
    <author>tc={628DDAC8-DAD0-4760-B485-779EACC95889}</author>
    <author>tc={B5255B54-D51A-4765-9A27-9ED9452EA945}</author>
    <author>tc={C9769D46-E4FD-4770-A176-D43A01527129}</author>
    <author>tc={8A045E3D-F30A-4F15-9E60-CB2C8831AB5C}</author>
    <author>tc={D28A77E3-A38A-4425-A32C-EE362C8DFC84}</author>
    <author>tc={22E81770-73AC-4779-9B17-CBC0B51D0F8A}</author>
    <author>tc={9E0D634B-821B-443D-8452-2D29FDAD31F6}</author>
    <author>tc={D8BD17ED-4965-419C-8250-317CC32D5ABC}</author>
    <author>tc={E605C9B4-48A0-44F5-BDC3-E64D2168A4DF}</author>
    <author>tc={89F4F643-E5D9-4FF7-9E08-A191BA249254}</author>
    <author>tc={122EC01D-E2BB-48D3-9F25-EBB3A92E1643}</author>
    <author>tc={A117913B-5A44-4B1F-B063-846077C0F390}</author>
    <author>tc={E5DF4AAD-57D8-433A-97B3-7749AFC4A24B}</author>
    <author>tc={E25ED110-9E85-4711-B39C-D71378B8692F}</author>
    <author>tc={8811AD5A-DCC6-4A5C-AFCA-46AD3A317AE3}</author>
    <author>tc={6BD67312-82B7-4398-9BD5-284348AF3934}</author>
    <author>tc={C2065AB9-3B8D-4257-A6C5-CA8E7C0E44AF}</author>
    <author>tc={12376DD8-E13A-4151-B0FF-D61DF21971C6}</author>
    <author>tc={5A085F10-5BC5-48AE-AAF9-287398665739}</author>
    <author>tc={6BBDFBE3-8AAB-4A03-82BF-CE15A1ABB0E8}</author>
    <author>tc={DBF4CDA2-FBDE-454D-B9BB-A5532BA25A4C}</author>
    <author>tc={92BE0CBE-B8E4-4DB7-8A74-6CAB3CE8D4B2}</author>
    <author>tc={998A4EDD-7D50-4720-841F-F6B7D2890AE9}</author>
    <author>tc={5EC61F91-91EB-478F-977D-90CBF5A5A28E}</author>
    <author>tc={FDE08AB5-B92B-4AD4-9472-31998081AB95}</author>
    <author>tc={4A6A5C4F-9D15-489E-A31F-DF851354ACB5}</author>
    <author>tc={307C68A2-1BE3-4877-9D25-87547034D34E}</author>
    <author>tc={6EFBFDED-DA0F-4ED4-8956-82B0F3F29BC0}</author>
    <author>tc={54CC0AC7-2F8F-4BBC-8AF0-9440A6DCC6AD}</author>
    <author>tc={77B84449-3970-4574-9227-728490D39B06}</author>
    <author>tc={86E573EA-06C7-4D19-A236-67BAC92537A9}</author>
    <author>tc={8843642E-C3C1-4C58-9F8B-7BA21CE190C4}</author>
    <author>tc={2CF7E75C-DE17-44A0-B772-67B09A58CE02}</author>
    <author>tc={FB1067A3-1356-4109-8F55-D10E67FE2ECB}</author>
    <author>tc={0655FB18-36C3-4C77-B288-2340D9A863D0}</author>
    <author>tc={952DCBF2-FBCA-4CAF-9827-8C737152E516}</author>
    <author>tc={9E493591-5666-4357-92E6-1DDA81A7F3CE}</author>
    <author>tc={37C5BEB5-E510-45C4-BD89-39FC920460E7}</author>
    <author>tc={B37A87C5-0CC8-4F04-9DD4-F7B59B322E25}</author>
    <author>tc={2FDCB6E1-A891-40FD-8081-EB760EBB0011}</author>
    <author>tc={4C178835-BC77-4371-A027-085D79FB7E22}</author>
    <author>tc={8D3BA5A1-F821-41CF-BBD3-63B88A8BCEB9}</author>
    <author>tc={E493CD19-6DC2-4647-8C49-B41F6D0C6C65}</author>
    <author>tc={E28A3091-B76D-4E63-BBFD-40A134E15BEF}</author>
    <author>tc={768F1188-C884-422E-9B3D-68EE4C52FACB}</author>
    <author>tc={268177EE-28AC-4CA1-B0CB-52E09088E2C9}</author>
    <author>tc={F09AD262-135C-4862-A2BE-343952C1C35C}</author>
    <author>tc={61BF6F11-2917-4BA6-9EFD-67225659DB01}</author>
    <author>tc={F666F7B1-F738-4598-8368-460BF87DA775}</author>
    <author>tc={E4A61942-6BC5-49DB-A071-654FB9ADED77}</author>
    <author>tc={24877A98-F734-4993-AAC5-93882D3F54DB}</author>
    <author>tc={DD571C13-CBF8-40A5-B09C-22266E28DA10}</author>
    <author>tc={CDC10075-4CA8-481A-96A5-4170DE8633D4}</author>
    <author>tc={7B195DB4-8F92-46BC-B830-AF378607CE54}</author>
    <author>tc={93800A4E-9389-4444-8510-A7CDBD4F0B7C}</author>
    <author>tc={F178EBBE-FCEA-47F5-BDAF-A0AF5E7E89E4}</author>
    <author>tc={3963F8FA-A035-4C00-8E52-3CE2A2B07DA2}</author>
    <author>tc={B8F28F67-B13D-4AD7-B0B5-BEA03804036A}</author>
    <author>tc={FA7EA888-CF43-416D-803D-3C35BC9D43AA}</author>
    <author>tc={49E15648-7AC0-4F84-B3E9-4D07509EB511}</author>
    <author>tc={992E7663-78D9-413E-B9B2-B775E5DF7E4C}</author>
    <author>tc={3C967269-D0A4-4114-8676-3567DB4B6878}</author>
    <author>tc={A6B8DB39-3162-40A3-A819-A812C71FAE70}</author>
    <author>tc={DBCF4AB5-C007-4A9B-B175-DDC235F9AE94}</author>
    <author>tc={EF1E6248-773A-49AB-AB0E-C5DCC00258FA}</author>
    <author>tc={2648E153-CAA1-482D-B3EB-2A14561215D3}</author>
    <author>tc={AD0533C5-5B1E-440A-A80C-7C81115E6C42}</author>
    <author>tc={D6E67F76-D2C6-4D5F-954E-51CEEBA62E93}</author>
    <author>tc={1117ADC2-BA10-4D30-9856-91B7BC536255}</author>
    <author>tc={D63245D7-DB10-4F60-A514-4F5E2A05D550}</author>
    <author>tc={FE5B6A82-1A34-4968-BD9B-B3872B8BEA23}</author>
    <author>tc={9C59F70E-CABD-4B8F-9BB7-C5B5B9866C4D}</author>
    <author>tc={9D2D00A8-F59D-4271-AA05-21C552795D3D}</author>
    <author>tc={2B0E560A-B003-4038-B922-D45560A03C1B}</author>
    <author>tc={B06F8E12-9E72-4B15-8537-8CACC459773E}</author>
    <author>tc={84E084B2-C782-4EC8-A6AB-4C6D63146E82}</author>
    <author>tc={3A3C26B7-8580-4DAE-88CD-F95E09F2E180}</author>
    <author>tc={FD63D76E-30FC-40B0-B7B3-5363528AF47A}</author>
    <author>tc={BCD76652-A958-454A-B090-AD0F30189BA0}</author>
    <author>tc={4C93D281-ECC3-4312-B7C1-117008913CE2}</author>
    <author>tc={BCD2A739-0B45-45C5-99CB-F1BAEB98C130}</author>
    <author>tc={D32E701D-3216-435A-9281-6F640AC7E5E0}</author>
    <author>tc={B4C07288-CAAF-4B41-BAE5-58096585557C}</author>
    <author>tc={2F5F64B5-F445-4F2B-86E5-2C4D8A898AE6}</author>
    <author>tc={3F85EDF8-603D-4570-97E9-212EFBA5BC6E}</author>
    <author>tc={B010A7EE-68F8-44F6-93D8-9D6584A1D858}</author>
    <author>tc={356D26DE-B074-4CAA-8F6B-090F361E783D}</author>
    <author>tc={DBF9E67D-B45D-4011-8C79-91B19BC02067}</author>
    <author>tc={79C114BD-2F22-4A17-A6F8-9C82FFCBF1C4}</author>
    <author>tc={5148E199-A593-4A00-BFDB-E9078370483C}</author>
    <author>tc={5CDA4EA1-2775-4D8D-A186-60DFA0688F1F}</author>
    <author>tc={A340E718-9F50-43A8-A9E7-68C68775926C}</author>
    <author>tc={2A4A463F-B86E-4D90-9B2B-109309243408}</author>
    <author>tc={4083CAA8-F61A-48EB-B0F7-9C0D8E55125E}</author>
    <author>tc={C0653F80-B706-4773-BCD2-3CA3FE55860D}</author>
    <author>tc={37EEF413-CAB4-47E0-A6F3-DB939B13C85A}</author>
    <author>tc={A3CDA6B5-A508-4DDB-B917-201CA8307694}</author>
    <author>tc={4DE02923-C7AC-422C-90E6-DAE44F1E4C79}</author>
    <author>tc={1C5418C7-C48E-46A4-85DD-FD686AE24F47}</author>
    <author>tc={341B615D-F149-4D1F-A2B1-DBEB16AB03DC}</author>
    <author>tc={7089BB30-1CAC-403C-8E17-B2497E631FCF}</author>
    <author>tc={56DCCDF3-869D-44CC-B761-ED4698738C6E}</author>
    <author>tc={106D4C9A-A977-4A33-87CA-FB0E46163B5B}</author>
    <author>tc={60BAAEF7-5874-4874-8196-F29FA2A6EAF1}</author>
    <author>tc={484FC205-A8AE-4587-A4EA-7E47E698286E}</author>
    <author>tc={48B50CCD-D84E-484A-A699-E4AC41E7A5FF}</author>
    <author>tc={11A14172-A6F2-4D8F-92D6-0218F9ED9B27}</author>
    <author>tc={512BEA6F-C883-4440-A356-89F3ED98E42A}</author>
    <author>tc={B9A67B7B-51F7-41CE-AEAA-D6F188CF5720}</author>
    <author>tc={528911A0-3ADF-47AB-91F5-7A3E2DA8E306}</author>
    <author>tc={A78A397E-ACAA-4A98-BC32-0FDD38999FFB}</author>
    <author>tc={05D6663D-2DFE-4893-9E16-7CD059A8AAB7}</author>
    <author>tc={741C4121-369C-4C62-A785-8DD8D0C48BBA}</author>
    <author>tc={BCE9F6B5-F1E5-4201-9E40-81B75E00CD86}</author>
    <author>tc={DDB2EAA5-1AD5-4D25-8DC8-1A59EC97060A}</author>
    <author>tc={BCD4FBB4-B35A-4FCF-90F1-EB62DAB49082}</author>
    <author>tc={98383AC1-7635-4F2A-9327-2B714420ACEB}</author>
    <author>tc={8A24F276-97B8-461A-B81D-6847D39A448E}</author>
    <author>tc={37831F7C-A943-4E5E-9D63-9F8398E9AA01}</author>
    <author>tc={F8F5B5D3-763C-4B88-B34A-1F0587336CA8}</author>
    <author>tc={1D3F2281-26C1-4F4C-875C-2DBE06043DFF}</author>
    <author>tc={2B5144A7-BD91-40B2-932C-6581F2F2D71F}</author>
    <author>tc={1DF9183C-5271-49FA-B21B-25F6A1F7168D}</author>
    <author>tc={6348A1B9-CFC9-4F84-B080-DB0A056A93D3}</author>
    <author>tc={696D8768-16AC-4270-B570-CBF31BA4A913}</author>
    <author>tc={DAD7592C-A99F-4FAF-AD97-5535E09AB56A}</author>
    <author>tc={76DF2A11-FCC4-4F5D-AD77-D4142E922DF2}</author>
    <author>tc={1CD71EF6-8BE8-4E1F-9DCE-2E18A6AA3C18}</author>
    <author>tc={E9446100-2E55-472D-975A-75217632D1FE}</author>
    <author>tc={11EFD222-5BAA-4DD7-AE76-044F0AEF89C9}</author>
    <author>tc={1D190BD2-928A-49F9-AE28-7A2F7D79E62C}</author>
    <author>tc={D72DB6AD-9E81-43C7-AD2D-A186479942CB}</author>
    <author>tc={3889451D-DE29-4076-B742-7E080EE1C317}</author>
    <author>tc={3E34CA14-E370-497E-860A-3B66794155FF}</author>
    <author>tc={3296F67B-165D-4D3F-8F0D-11BB26A88EB3}</author>
    <author>tc={00C3485B-CE51-413F-8844-225216FDA8A2}</author>
    <author>tc={DECA4BBC-489A-4144-91B1-62265A79CD42}</author>
    <author>tc={4478AB12-EE68-46B3-A6B9-C97593E08422}</author>
    <author>tc={4B0D1D62-C4A1-4A96-B086-1C35A3E9C44E}</author>
    <author>tc={10E4617D-0FA1-4019-AA5B-2D16B1EAB086}</author>
    <author>tc={B822323C-A93D-45F9-9770-6D001AAE8679}</author>
    <author>tc={7E0DF3C3-0D45-4931-A4A9-063C745AF2F9}</author>
    <author>tc={E78120BB-AC92-4E51-9C92-0C4A42A408B2}</author>
    <author>tc={006C8676-986A-4083-9428-930E43830D39}</author>
    <author>tc={32937339-5004-44C5-9023-A208B48CCEB6}</author>
    <author>tc={D0EC378D-549B-4135-8815-6B7E72141D34}</author>
    <author>tc={D1B88554-87A2-4326-9EFB-F901161C0B0F}</author>
    <author>tc={D1B92211-AF58-492D-91DF-AFC2E8F63EC3}</author>
    <author>tc={26044522-6ADD-447A-801F-F85F492B1AAE}</author>
    <author>tc={E968B8E1-94ED-46B6-802C-4B151A6E91B0}</author>
    <author>tc={50BF951B-FC14-46CC-8EE4-5C97B0F19495}</author>
    <author>tc={90583875-6D81-4887-8B83-650065CE61DD}</author>
    <author>tc={10E419AA-41D7-44F0-9480-78420AF76859}</author>
    <author>tc={901E2605-FC13-4BF3-A3F2-C005A838F29A}</author>
    <author>tc={0626704A-6E07-4ED1-AB70-3A1DA9A2136C}</author>
    <author>tc={E4055987-2CBC-4B64-B92B-6AC1A9E46806}</author>
    <author>tc={6F6F22B1-AA50-4DCD-BC9E-60D8C7D099E6}</author>
    <author>tc={AC0AB84E-5B75-48AF-BA8B-3D2744AB994E}</author>
    <author>tc={D6D9AD5F-68BF-4750-9D04-C696BE61422F}</author>
    <author>tc={3851708C-DD85-4041-8D85-B5C9D07B39F8}</author>
    <author>tc={8526F01F-6CD7-4E96-8E44-746CBD718399}</author>
    <author>tc={8C3E5C89-5C59-4176-AC01-14D4F0AA4B6D}</author>
    <author>tc={BC7C60C9-BB39-486F-B67E-47405C4F73EC}</author>
    <author>tc={4CCA1DB8-C64D-4BCB-96E8-921F2A5FECD7}</author>
    <author>tc={6C8A904E-178B-4F71-9172-0A0895BFDEF9}</author>
    <author>tc={9AE77164-FD60-436B-AEBD-966EC57E16A6}</author>
    <author>tc={977372C4-E37E-4CEF-AB64-0BC6434DF18D}</author>
    <author>tc={CDE64B9A-FDE4-412A-B54E-D252D90E3CA8}</author>
    <author>tc={6DBB72FB-A366-4F35-8F2F-4C4247985663}</author>
    <author>tc={675E91DA-E32D-43AC-86E6-DF5BA31BF06C}</author>
    <author>tc={0C16C97C-FD03-4D5D-8FAB-AE2B597A7430}</author>
    <author>tc={CB71D5E5-6164-48AD-992A-DB5C4D0515F7}</author>
    <author>tc={52B0BF2F-C9F1-45B2-94FC-BCDA88D4D35F}</author>
    <author>tc={EC8AB213-D586-42B2-BF68-22A2C9037DC7}</author>
    <author>tc={61B1EB85-10EC-484B-894A-9477BF1E2177}</author>
    <author>tc={EAA6C044-A78D-4DFC-B5AD-2A37AFB008CF}</author>
    <author>tc={9802CE2C-CCCC-479D-8B18-78C73AB03F4B}</author>
    <author>tc={B49CEE0C-CBF6-451A-B12B-57B3FC20C78C}</author>
    <author>tc={CFA5321C-479C-4C7A-8377-66C0FE9EE309}</author>
    <author>tc={0FDACDF0-E581-4092-B52F-19C6B284C14F}</author>
    <author>tc={78883199-31BA-4DC6-8953-2132FC95828A}</author>
    <author>tc={C5E99EA2-0F86-456B-A657-903BFB5AE78C}</author>
    <author>tc={DA6D3F18-12D1-4D86-B598-3A5E8A30DD66}</author>
    <author>tc={09A63DF4-A17A-4DC0-9C9A-168CAB3FCA95}</author>
    <author>tc={AC538D73-60AA-4B1B-AFC5-9D316F994B4A}</author>
    <author>tc={00CDE370-363F-4F47-AE25-E7D282B73DDF}</author>
    <author>tc={1B1ACCEF-ADF1-4922-89A8-F300291CFDE9}</author>
    <author>tc={6E579191-FB1F-4527-9D8B-F5A7271460F6}</author>
    <author>tc={8A797267-806B-43E8-B317-24DE116E42E3}</author>
    <author>tc={1193BD2E-372C-471F-B4B0-1D5D4DEBD247}</author>
    <author>tc={B029A944-6AFC-4DC9-B707-86710F00D8FC}</author>
    <author>tc={913A99A8-6AF1-4F8F-95A7-21232ED7BBDB}</author>
    <author>tc={A4F7BC27-8DEB-43A0-A1BB-6D180C687861}</author>
    <author>tc={BE3D142C-355A-46EA-93CB-606F21A22942}</author>
    <author>tc={D1FAD821-B99F-42E7-98B7-0E355D23682D}</author>
    <author>tc={D2F61F6A-E960-486A-ADEC-B5B5DA5375B6}</author>
    <author>tc={13B3CA58-DFD0-4AA7-81D7-F6CA7D50EEFD}</author>
    <author>tc={11DD7225-21FE-4974-A29C-812AA6402CAB}</author>
    <author>tc={B951B3E5-72EC-493E-8356-176B6793C58B}</author>
    <author>tc={501F8D21-E6F4-4784-BC6F-E502F1FF1863}</author>
    <author>tc={7B7B4ECC-780D-4EC6-9256-3A2587D878F1}</author>
    <author>tc={5B1F94FC-F046-4ECF-971E-A59F3544598B}</author>
    <author>tc={46CA2447-02CB-4CD6-8E2C-2694CA2D3359}</author>
    <author>tc={CFFE4097-905A-419D-959D-3E0BC05DD31E}</author>
    <author>tc={E21F7384-7480-46AA-BFD5-6A433E8951B4}</author>
    <author>tc={416B88BA-A6B7-41A6-9A3F-21AF2A42823E}</author>
    <author>tc={AACF73C9-80BA-46C0-B59D-F5B5569E9B13}</author>
    <author>tc={C380F79E-4F05-4E48-B288-67B9F035BAE1}</author>
    <author>tc={46262CFE-E61A-4680-8412-3057178FB4F2}</author>
    <author>tc={67BB3220-B846-495A-9869-4AA2C2DE4E82}</author>
    <author>tc={40A33239-26FD-4EE1-9BDE-F8AAEFC03FA9}</author>
    <author>tc={AB38C5F2-171E-4C53-93CB-6F619A0CB902}</author>
    <author>tc={39CC0B4B-3F2E-4E91-8A03-67338AFBA3A1}</author>
    <author>tc={1771FAE4-8E90-4FCE-A8DC-A97602E19EB0}</author>
    <author>tc={87405D9C-5BC0-40CB-AFC1-028E9CEA82DB}</author>
    <author>tc={6A9706DB-2EEF-49B6-9651-9E89C30ACF6F}</author>
    <author>tc={5D7B2781-CDFC-4849-B3B6-3F0A725A7E57}</author>
    <author>tc={10FEE559-7604-4A34-B1B4-0CF454D0CF52}</author>
    <author>tc={10069F26-C967-449A-9DC5-DE7C2D2F8541}</author>
    <author>tc={F9974E6C-E5A5-466B-A99E-9714FEC22E81}</author>
    <author>tc={779B2502-D371-4D4E-9F1B-20D7AF777BBD}</author>
    <author>tc={8E0975E6-955F-472F-B8EA-8A43E5842219}</author>
    <author>tc={4A9633E2-11A1-45DC-9506-987F618C2D40}</author>
    <author>tc={16DFDAF4-28B3-44CB-9DEB-072D7715715D}</author>
    <author>tc={59A5EFFA-4FB0-41D6-AF39-95CE8D6F70B3}</author>
    <author>tc={C7ED42FB-C1D9-471A-B209-8C35CCF8D1F4}</author>
    <author>tc={FB6E0579-EAA5-49CF-BA82-9A29E6E75108}</author>
    <author>tc={A669BA0F-F033-45AB-8A43-27503142EB14}</author>
    <author>tc={D2273F5B-E507-4878-8C68-604A0DCC37F5}</author>
    <author>tc={9AAA75DD-6D6F-439B-830F-B1839222AC40}</author>
    <author>tc={65A115D0-CC05-400D-9946-2B5E542FABE0}</author>
    <author>tc={A0A020DC-37EC-4535-9753-5EEAA6F367AD}</author>
    <author>tc={38980549-504B-4820-8BF9-95E9D1EED958}</author>
    <author>tc={5D56F284-B827-4E23-BA6B-0CBD7C3A7557}</author>
    <author>tc={37BE6369-E9A1-4668-B9AE-9185E3C129B2}</author>
    <author>tc={CF01DEEF-D5D9-4DC4-B746-48680EFA1024}</author>
    <author>tc={B4912ADD-C7B4-4E96-91AC-CB25127722EC}</author>
    <author>tc={5B2BD541-9CC4-4540-9F83-2EB7FEFC314F}</author>
    <author>tc={6A450659-3930-4868-84C2-280964918A3F}</author>
    <author>tc={851FD7E8-CF84-4ECA-B171-355C4846DAA3}</author>
    <author>tc={E9FDE342-05B4-4BE8-935D-1E44C0579164}</author>
    <author>tc={F9C82C65-DF4B-48F7-893A-E11B581FA1B9}</author>
    <author>tc={52D34497-3D09-42C0-98E5-F760F865D7AD}</author>
    <author>tc={2D031943-4905-409E-A307-BAF06841486F}</author>
    <author>tc={3FCE6FFD-18FC-49A6-BB08-07AE40385042}</author>
    <author>tc={35029680-0485-4F3B-BE6B-554D3F81358D}</author>
    <author>tc={21106ADE-56C6-4D74-A17B-EF2795DA5548}</author>
    <author>tc={E4513309-39B8-42B9-AD3F-BA84C92E4EE0}</author>
    <author>tc={B9D8DA99-EE1E-4724-97FB-223C49FCF0AA}</author>
    <author>tc={B671DDEA-BAAE-4E9A-8006-4B36D44DB5A3}</author>
    <author>tc={9599D740-3D37-44D2-973A-4C0CC71C93FF}</author>
    <author>tc={E1C3E25F-C978-4949-A3D8-28C847AA4AB2}</author>
    <author>tc={66A9613D-76C8-487E-8D8D-67998DE41ADD}</author>
    <author>tc={43A29653-C4CA-4A1C-AD77-BC7DE96E69FC}</author>
    <author>tc={0FD9B261-0340-4C9F-850C-AA8EC03509F9}</author>
    <author>tc={1C8EA7D9-A7F4-46DA-A0D5-1092EC7B0C38}</author>
    <author>tc={466E61A9-6A76-413D-A2EC-2A1E8FDF5D1E}</author>
    <author>tc={6B6DB1A3-38DF-4175-B400-DD732F5C025E}</author>
    <author>tc={45302AE5-873E-4625-B3AF-60D5663A291F}</author>
    <author>tc={F5A4EEEC-2817-4036-9125-204EE6647358}</author>
    <author>tc={4627E9C9-AC5C-4632-BB23-E6F5DE2CBF81}</author>
    <author>tc={99870C08-EC0C-40AC-8E26-FB34C8AA05A1}</author>
    <author>tc={F7E57316-558B-414D-9574-5820EE6712E1}</author>
    <author>tc={660AAD7B-C7F9-4F94-B5AF-A0048EF18B50}</author>
    <author>tc={964E7E24-D6AC-4867-A5F6-649813DAFEA6}</author>
    <author>tc={135A7B32-F1F5-4174-9436-3D02C8247B76}</author>
    <author>tc={BDCC9290-994D-4D23-A58A-33C13E091074}</author>
    <author>tc={7F6EAD50-2935-4037-BC66-706C8BEEEC62}</author>
    <author>tc={217CACE7-238A-4998-8204-687C195C9E67}</author>
    <author>tc={1E1960BE-AF93-4085-A49D-7101012A2713}</author>
    <author>tc={462A4181-F790-4A61-976C-1764E276B0CB}</author>
    <author>tc={10E72699-926B-49F3-9F5A-3DCB3C21D10E}</author>
    <author>tc={5CAB4864-EF4E-4A08-B4FE-B387AACCABD7}</author>
    <author>tc={6EEED253-AFD0-4F93-B21E-0FAF27053142}</author>
    <author>tc={24ACC898-95D2-4594-8286-1283E1B3E311}</author>
    <author>tc={B5FA882F-F895-4748-B193-D1F7E839EAFF}</author>
    <author>tc={3477D341-2B59-4939-850E-3FF90F8CCD19}</author>
    <author>tc={23FC7C1A-9088-478A-B338-1102D20AFD02}</author>
    <author>tc={039AD9CB-CD89-4FB9-91CB-21F83EE97684}</author>
    <author>tc={CF99DE33-A3AE-435C-961B-F70EAFB5E7C2}</author>
    <author>tc={4F9E3FCA-9217-4A72-A314-350B7E60CFCA}</author>
    <author>tc={6E97CDA4-281E-4910-AC9F-6862730D6AB3}</author>
    <author>tc={F251539D-3DD1-4FB6-9A2D-DD9341130B0B}</author>
    <author>tc={51B723B5-D9AE-4D58-80C7-DE0E2621F9AD}</author>
    <author>tc={D5A3E427-4F96-414F-9C5B-1490025855A4}</author>
    <author>tc={E5E30269-704D-4A66-8C4E-450190AE481E}</author>
    <author>tc={D77AFB53-5C32-4E53-83FA-9378DD768000}</author>
    <author>tc={CE527D06-4CBA-4538-9D41-333080FA8A34}</author>
    <author>tc={9176186A-5FE1-4946-8527-D864B004B8E5}</author>
    <author>tc={32FD843E-6232-42FC-9235-28ED8E00F520}</author>
    <author>tc={1E17D209-70F6-42E3-B8D7-37625322F6E0}</author>
    <author>tc={1595C250-2DAB-4F67-8058-87F666F14131}</author>
    <author>tc={7EBDFDA3-EEF2-40C4-A62D-1EFE0421D512}</author>
    <author>tc={C827F0CD-3EB3-458F-AB74-56E8160ABC99}</author>
    <author>tc={0A783631-182F-4EF7-A43B-CDC411B70288}</author>
    <author>tc={37320ACD-F91A-4B39-B0F3-E96AA1D94654}</author>
    <author>tc={2908E221-B32A-4C91-9878-25C93018E285}</author>
    <author>tc={693B194C-5C7E-4EEB-8F53-02BDA529D7F3}</author>
    <author>tc={72FCA026-A760-4197-A0A9-374561C782B2}</author>
    <author>tc={3108049A-CF4C-43C6-B934-12BA17AE4A02}</author>
    <author>tc={E107B611-CD46-401C-9091-58902A4BEE29}</author>
    <author>tc={8760D358-FF53-4DC7-ADA0-AB07F72AA862}</author>
    <author>tc={8DE3D26E-5853-4975-94A0-87C94420A80A}</author>
    <author>tc={100ECED4-D4A9-454C-B42C-9030B0DBAAAB}</author>
    <author>tc={0CC683C4-71DF-4564-99A9-A400EFC5E333}</author>
    <author>tc={5468051B-3077-45DA-B93B-4CE452F848F9}</author>
    <author>tc={32AB0B93-4170-4338-B026-9F33AB6FDF92}</author>
    <author>tc={14B76592-3108-46D0-95A3-0EE2F854965B}</author>
    <author>tc={DDB043DC-7E8F-4106-A1F5-6DC97C09A652}</author>
    <author>tc={D0640180-C62A-47E5-A988-E28C7B5EB37D}</author>
    <author>tc={4B02C9DA-3DAD-4CC1-B241-C5E212ABF5AD}</author>
    <author>tc={CB1E0363-A08E-44C3-8202-8EBDD2741354}</author>
    <author>tc={509CEE46-E675-4D3E-A607-A5C3A4BA936D}</author>
    <author>tc={BA33F460-77C7-4DDF-A97A-7E362594A846}</author>
    <author>tc={040DB34B-F648-4352-9973-2F7E75BD282F}</author>
    <author>tc={E2EF365D-F512-46F8-85F3-1D553A799E83}</author>
    <author>tc={95B1A9D8-2F5A-4D04-96F2-6F42BF8A4C0E}</author>
    <author>tc={ADB4B9BC-3825-4AC5-AD2C-AF747C4B40DC}</author>
    <author>tc={F473F683-46F4-404C-9BA9-B93217A299F6}</author>
    <author>tc={08B68112-5CF4-4406-AA73-CF005FEE3A6C}</author>
    <author>tc={5427C40B-A6B1-4E54-ABAB-7015D0DBF55D}</author>
    <author>tc={2CCBD7AA-47E3-4BE9-9825-C5097336501F}</author>
    <author>tc={71EAB46A-4323-4EAC-AC76-CFC69FC8DB8B}</author>
    <author>tc={4CA88D69-B9C8-421A-AE53-A6A8D9C35F38}</author>
    <author>tc={580206CF-54EF-4EEE-860B-671F2C81AF87}</author>
    <author>tc={42418126-EFEC-4B6C-A479-6045E1D57EBC}</author>
    <author>tc={7AF61574-B490-4992-8321-F9DE0C2E2D17}</author>
    <author>tc={C7038EAE-6F4C-4FE0-AB3E-FA6961E14DA6}</author>
    <author>tc={3B0A9D65-B309-49BD-99BD-AC90E0741957}</author>
    <author>tc={7BC9DA7B-218F-45FA-8331-69C953223279}</author>
    <author>tc={9A4F04F6-5738-4EB5-A686-0A231359CFE6}</author>
    <author>tc={C047F932-2CE6-4FDC-80E9-72CDC0CA3139}</author>
    <author>tc={8FD03F83-3320-4D47-B964-2522998FAF61}</author>
    <author>tc={51AD4D24-31DE-4990-A806-8E5594C6364F}</author>
    <author>tc={280CE71B-6BD2-4900-858B-EFAC6141333C}</author>
    <author>tc={2567C9CF-6EC3-4E67-A42A-7FC615BE6147}</author>
    <author>tc={E8662945-6178-45B2-B4F1-782C2887A1D0}</author>
    <author>tc={F3BDB8D9-0836-44B9-A64A-AA6D00FCF922}</author>
    <author>tc={6E897B85-9D0E-471C-A510-55ED8ED2E28B}</author>
    <author>tc={E689A177-F138-4612-BEB0-E4D42EF74C2A}</author>
    <author>tc={BE14FE0B-84A0-4AA2-B619-C7759F307EFC}</author>
    <author>tc={6E258FD8-F750-443B-8797-FB20B514C7E5}</author>
    <author>tc={EA31F0B0-95F9-4A9D-BD1A-72B472D24F2C}</author>
    <author>tc={7A7A7224-588C-46A5-8EA0-C00B9BCD4DB6}</author>
    <author>tc={C8621012-4498-49CE-802E-5665616A8077}</author>
    <author>tc={441F3988-C473-423D-9C05-899286510DA7}</author>
    <author>tc={F8119C41-36F5-4BE3-B876-81D7617CB314}</author>
    <author>tc={6702C07E-1883-449B-8491-C1670F7054B6}</author>
    <author>tc={476C9844-7BEA-4C7C-A79D-5FEE2ADAB712}</author>
    <author>tc={A1F85097-63FE-4669-8E46-2F1CABB4E71B}</author>
    <author>tc={2D2D5251-9DDA-4762-91A0-5804E07E2260}</author>
    <author>tc={8CC7EE1C-C331-4208-976B-702D10D52AC0}</author>
    <author>tc={FBE5DB74-419A-4A8C-BEC3-FA005DDEB053}</author>
    <author>tc={333E5C13-D8B0-4530-B758-62DA3B82AB05}</author>
    <author>tc={86F31E6F-04AA-46FD-8894-E8A7BD1957EA}</author>
    <author>tc={F45FF249-2AD9-4A72-88F1-92372EE3C1BB}</author>
    <author>tc={12664D7D-02AF-44B1-8834-8F5FB1328968}</author>
    <author>tc={C7F0F13B-E3FB-4120-94BD-150752980476}</author>
    <author>tc={76B4D2E4-3A4F-4DDE-ADFC-DEFCC0AA4F6E}</author>
    <author>tc={D695400A-592B-4C34-8373-FA330F741D40}</author>
    <author>tc={38496C19-BF50-4A54-8D01-977F7852EDF0}</author>
    <author>tc={F0A88981-CB2A-4F96-B5CF-9538910B5778}</author>
    <author>tc={3A4AFF6B-D633-4A33-8366-9623C5321A67}</author>
    <author>tc={8B04DCAD-4817-454C-B43E-1874DA748965}</author>
    <author>tc={B03810E3-55D5-46C0-A197-74EE6683E063}</author>
    <author>tc={B5C47B1D-7867-44E1-8D28-1C046442B943}</author>
    <author>tc={D9016EDE-4742-4B1B-9F1B-4E304D56EB5E}</author>
    <author>tc={FA835A8B-4B8D-4A1D-81A5-0460A25BFDED}</author>
    <author>tc={7B758776-8FBE-45BD-806E-5F38057E1487}</author>
    <author>tc={B757E6A7-E7AB-43D9-B8A9-AB3392688711}</author>
    <author>tc={4DB066D4-CD7D-4232-8E8A-6A71776F2681}</author>
    <author>tc={5648DCB8-A633-40F1-B150-E398F9D04644}</author>
    <author>tc={33840732-2884-4933-B28A-AA6D7C35743E}</author>
    <author>tc={9B6FAE54-5ADE-4062-A083-D248F6ACB592}</author>
    <author>tc={2EAFD766-CAF3-468D-B1F8-255E69BC40BE}</author>
    <author>tc={C92559FD-9DF7-4E3E-8C7E-4AA9F0F7F9F6}</author>
    <author>tc={630CFAB3-24C4-4B3C-BCB2-D2F1830DC880}</author>
    <author>tc={2EC56731-7331-4DCC-AAF0-12E3CA2340CD}</author>
    <author>tc={B29B369D-4A75-4078-A4F6-45AC51E43CD6}</author>
    <author>tc={A0827BE4-FF76-4ACB-AC0B-B2EEF7F06197}</author>
    <author>tc={9EE61704-CC3A-490C-A2D3-CF35CCFEB904}</author>
    <author>tc={81A1DD26-060A-4D7E-8D88-2B79BA2F1A6C}</author>
    <author>tc={F6D8E1C6-FBF1-45C4-A7D6-77118AB996CB}</author>
    <author>tc={F7BD60DF-6461-4A0A-AADB-7CC6D2802DB8}</author>
    <author>tc={A219B206-EF42-4678-BEDD-C46C80BBD958}</author>
    <author>tc={9DFFFB6E-38F6-41EB-92F3-C8C8835AA8AD}</author>
    <author>tc={EA3537DB-F11C-420F-84A7-41843BFD33FE}</author>
    <author>tc={A7628267-A965-4B06-A84A-A627EE8914E8}</author>
    <author>tc={DC9F53ED-3AD0-44EF-9584-BB404541E521}</author>
    <author>tc={16D89E3C-3FFF-44CC-899F-464AB17140D2}</author>
    <author>tc={42AE3AB4-525F-4BA8-BB1B-14770D8E3F4E}</author>
    <author>tc={64819754-8D64-4134-9CC7-75FBDA558017}</author>
    <author>tc={012E00CC-FDFB-426A-9054-A234CF081847}</author>
    <author>tc={80ABBF39-2FF3-42DC-A916-D3ECF3EFC945}</author>
    <author>tc={7D623A98-4FE6-4F1D-9E09-046882F1B375}</author>
    <author>tc={7C12A1DC-BC7C-47E1-95E7-47DF3081998E}</author>
    <author>tc={0F4F81DC-AF20-4858-B515-725A1FBE1D95}</author>
    <author>tc={6B0BAE31-2919-4778-8467-C8CA2323C335}</author>
    <author>tc={8E5944BB-5040-4073-B5B3-78EC35F57B76}</author>
  </authors>
  <commentList>
    <comment ref="D2" authorId="0" shapeId="0" xr:uid="{80AF2591-86FF-4446-9057-995B9E42D8E9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Obtained from eff_el or COP at last column.
The data for the efficiency has been obtained from values in Normalized Maps excel file, which are from real data.</t>
      </text>
    </comment>
    <comment ref="D3" authorId="1" shapeId="0" xr:uid="{A8BD41BE-D855-4E38-9CA3-A8F34DDC222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M3" authorId="2" shapeId="0" xr:uid="{DDE7384B-5D9B-4299-BD6B-07255D0D5F8D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P3" authorId="3" shapeId="0" xr:uid="{60D9EAA8-5F5B-41AE-93A6-99F43CE02053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3" authorId="4" shapeId="0" xr:uid="{623C534B-F3F9-483F-9B57-6F55D6D3E3D6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(€/kW_LHV-NG), 
x_in = size_input (kW_LHV-NG)
NOTE:
X_in is not the same as X of column N!</t>
      </text>
    </comment>
    <comment ref="V3" authorId="5" shapeId="0" xr:uid="{D3252924-37DA-40AD-8E50-85E7A07FB4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k€/MWh_el
(only fuel costs, as all the other O&amp;M costs (except replacements) are considered inside O&amp;M_fix)
Price of Natural gas: 67.4 €/MWh
</t>
      </text>
    </comment>
    <comment ref="W3" authorId="6" shapeId="0" xr:uid="{A7D4ED8F-5C38-456E-8F9A-F48A5E2B4C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3" authorId="7" shapeId="0" xr:uid="{7AA112C9-04E3-4AB9-9A9B-F76001BD312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</t>
      </text>
    </comment>
    <comment ref="Y3" authorId="8" shapeId="0" xr:uid="{1632D30F-15B8-4158-A242-1CF47AA2A8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" authorId="9" shapeId="0" xr:uid="{AD398716-C214-4C47-B72D-D4C9B77742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3" authorId="10" shapeId="0" xr:uid="{BC451F02-5757-468E-B8C9-04CDA50C46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3" authorId="11" shapeId="0" xr:uid="{1E63E707-497F-4D92-851D-8DA418665C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4" authorId="12" shapeId="0" xr:uid="{9E44296B-72B1-46F7-B509-986F848E9DE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M4" authorId="13" shapeId="0" xr:uid="{34604A75-7035-4571-8799-88A71CC49DDB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P4" authorId="14" shapeId="0" xr:uid="{B657E4A8-6D9B-487D-8C44-EA58C2303D41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4" authorId="15" shapeId="0" xr:uid="{65969549-52B7-44ED-835F-AF5351857CD5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(€/kW_LHV-NG), 
x_in = size_input (kW_LHV-NG)
NOTE:
X_in is not the same as X of column N!</t>
      </text>
    </comment>
    <comment ref="V4" authorId="16" shapeId="0" xr:uid="{E873BB03-D33E-4E31-9443-E622E36C8B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k€/MWh_el
(only fuel costs, as all the other O&amp;M costs (except replacements) are considered inside O&amp;M_fix)
Price of Natural gas: 67.4 €/MWh
</t>
      </text>
    </comment>
    <comment ref="W4" authorId="17" shapeId="0" xr:uid="{1DC63B73-1957-4CCF-9E25-1AA960C46C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" authorId="18" shapeId="0" xr:uid="{D9C7860B-7639-4816-A431-5E7B74A5B74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</t>
      </text>
    </comment>
    <comment ref="Y4" authorId="19" shapeId="0" xr:uid="{8C9D047C-4EAC-4A46-BD0F-5113270325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4" authorId="20" shapeId="0" xr:uid="{FE0FBA80-D5CA-4874-A131-29C3F0C554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4" authorId="21" shapeId="0" xr:uid="{D6E1B2E5-AEC5-4764-A0C0-97C8710CE8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4" authorId="22" shapeId="0" xr:uid="{E5D1716C-2D68-49C7-B5ED-363903D96F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5" authorId="23" shapeId="0" xr:uid="{D645D7FD-0056-4CA7-BC8E-71B63A990D4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M5" authorId="24" shapeId="0" xr:uid="{0B0BAD0B-CF0A-4B46-85C1-6C780EEA2F42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P5" authorId="25" shapeId="0" xr:uid="{D74E28EC-2802-42F8-B7DB-515E0D7F81FD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5" authorId="26" shapeId="0" xr:uid="{E9C5E3B3-59A2-4932-9B1B-0B2CA5E7037E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(€/kW_LHV-NG), 
x_in = size_input (kW_LHV-NG)
NOTE:
X_in is not the same as X of column N!</t>
      </text>
    </comment>
    <comment ref="V5" authorId="27" shapeId="0" xr:uid="{F9ABF4C1-CBB8-432C-B99F-17EE0D0214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k€/MWh_el
(only fuel costs, as all the other O&amp;M costs (except replacements) are considered inside O&amp;M_fix)
Price of Natural gas: 67.4 €/MWh
</t>
      </text>
    </comment>
    <comment ref="W5" authorId="28" shapeId="0" xr:uid="{CDB5A625-6A67-4AD0-9DD6-AFCDFAC05C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5" authorId="29" shapeId="0" xr:uid="{0095147D-5DAC-44BB-80E6-6C078C3F1CF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</t>
      </text>
    </comment>
    <comment ref="Y5" authorId="30" shapeId="0" xr:uid="{BEDAC2D9-9630-4063-AF7B-EBE69E0E91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5" authorId="31" shapeId="0" xr:uid="{C708577D-EF5D-4DD9-8109-A265103B60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5" authorId="32" shapeId="0" xr:uid="{6E63E205-4F88-4A08-847E-B0E51F346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5" authorId="33" shapeId="0" xr:uid="{0F42019E-D2E1-4E84-9E08-DFB27320B7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6" authorId="34" shapeId="0" xr:uid="{19138D94-C84E-45C7-A7D0-8EF97F5AE7E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P6" authorId="35" shapeId="0" xr:uid="{5108C987-9A1B-4C05-BFCC-E2A9B3B128D5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6" authorId="36" shapeId="0" xr:uid="{8EC1C765-B1E6-4125-B56A-1C3ADF491272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(€/kW_LHV-NG), 
x_in = size_input (kW_LHV-NG)
NOTE:
X_in is not the same as X of column N!</t>
      </text>
    </comment>
    <comment ref="V6" authorId="37" shapeId="0" xr:uid="{D65BCBCD-3109-45F3-A998-AEC5B529AC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k€/MWh_el
(only fuel costs, as all the other O&amp;M costs (except replacements) are considered inside O&amp;M_fix)
Price of Natural gas: 67.4 €/MWh
</t>
      </text>
    </comment>
    <comment ref="W6" authorId="38" shapeId="0" xr:uid="{1FB0B63E-26BA-4FCE-90A3-0E59753DFD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6" authorId="39" shapeId="0" xr:uid="{B7C221D4-F3D4-46CA-B232-5230F93D97C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</t>
      </text>
    </comment>
    <comment ref="Y6" authorId="40" shapeId="0" xr:uid="{F75AA5F9-7FEB-419C-976F-2EF62AADDA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6" authorId="41" shapeId="0" xr:uid="{4AD6AFE2-479C-4174-9A4A-39E6799B43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6" authorId="42" shapeId="0" xr:uid="{446476D8-2CC9-42BC-84CE-2DF112BC11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6" authorId="43" shapeId="0" xr:uid="{F90C04C1-4260-4D7C-AE40-8AB4044D45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7" authorId="44" shapeId="0" xr:uid="{1044F9D0-B4E2-4BA4-A90D-CDF3E2F004D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P7" authorId="45" shapeId="0" xr:uid="{D25BC4A8-51FB-46F0-93EC-B4A059FFB574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7" authorId="46" shapeId="0" xr:uid="{77C7FA1A-4762-4C6D-A6EB-B17DDD79EE14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(€/kW_LHV-NG), 
x_in = size_input (kW_LHV-NG)
NOTE:
X_in is not the same as X of column N!</t>
      </text>
    </comment>
    <comment ref="V7" authorId="47" shapeId="0" xr:uid="{C6B2C7FD-0769-4F2E-B4FE-F8518C6BCA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k€/MWh_el
(only fuel costs, as all the other O&amp;M costs (except replacements) are considered inside O&amp;M_fix)
Price of Natural gas: 67.4 €/MWh
</t>
      </text>
    </comment>
    <comment ref="W7" authorId="48" shapeId="0" xr:uid="{D6921062-F22F-4D16-9664-21B5CAEF50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7" authorId="49" shapeId="0" xr:uid="{21DE704C-E5E1-4421-A920-B639DDFAA16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</t>
      </text>
    </comment>
    <comment ref="Y7" authorId="50" shapeId="0" xr:uid="{1597B1CE-E88D-478D-8B1E-BEC1A2DEE7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7" authorId="51" shapeId="0" xr:uid="{A72D3B1A-A62C-4B74-ABEA-6BC303B3D8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7" authorId="52" shapeId="0" xr:uid="{D046B94F-3C08-430F-BA68-EA9FB5781A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7" authorId="53" shapeId="0" xr:uid="{EA56B2CA-5A7C-4A1A-9495-6E3834F65C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8" authorId="54" shapeId="0" xr:uid="{8C93EBA5-8B67-47B6-A140-66CA4294C3C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(H2)</t>
      </text>
    </comment>
    <comment ref="P8" authorId="55" shapeId="0" xr:uid="{2F755258-9362-4886-9F18-39981B4F71ED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8" authorId="56" shapeId="0" xr:uid="{E21E3376-A0A5-41A0-9518-3EBF6D77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(€/kW_LHV-H2), 
x_in = size_input (kW_LHV-H2)
NOTE:
X_in is not the same as X of column N!</t>
      </text>
    </comment>
    <comment ref="V8" authorId="57" shapeId="0" xr:uid="{C3B4502E-397B-459E-AB43-AA8B35AF77E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fuel costs, as all the other O&amp;M costs (except replacements) are considered inside O&amp;M_fix)
Price of H2 (Italy): 0.296 €/kWh
Efficiency of PEMFC 45% (el)
-&gt; 0.296 k€/MWh / 0.45 = 0.6513€/MWh
(variable cost = fuel cost only)</t>
      </text>
    </comment>
    <comment ref="W8" authorId="58" shapeId="0" xr:uid="{DCF70995-A8E1-4F80-B8D7-6FB19AC20C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8" authorId="59" shapeId="0" xr:uid="{C527B711-22CD-418D-AB79-5727B6C8BC7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</t>
      </text>
    </comment>
    <comment ref="Y8" authorId="60" shapeId="0" xr:uid="{8E0A63BE-F13E-41AD-B1D2-A1A93A030C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8" authorId="61" shapeId="0" xr:uid="{E4892F80-C29E-4395-A0AC-60EEEFDC96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k€/MWh_LHV-H2
(only fuel costs, as all the other O&amp;M costs (except replacements) are considered inside O&amp;M_fix)
Price of H2: 293 €/MWh
</t>
      </text>
    </comment>
    <comment ref="AA8" authorId="62" shapeId="0" xr:uid="{C5CB21A3-70B3-4770-A981-328057B788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8" authorId="63" shapeId="0" xr:uid="{A4A4E419-C1E0-428B-8E4A-15E32BAED2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9" authorId="64" shapeId="0" xr:uid="{43BD3C21-BBF9-4667-86B6-47179B76E4B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(H2)</t>
      </text>
    </comment>
    <comment ref="P9" authorId="65" shapeId="0" xr:uid="{89793473-30EF-4721-BEE6-345E24F9C135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9" authorId="66" shapeId="0" xr:uid="{258116F4-0492-4FD3-9CC2-5A620B728D9A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(€/kW_LHV-H2), 
x_in = size_input (kW_LHV-H2)
NOTE:
X_in is not the same as X of column N!</t>
      </text>
    </comment>
    <comment ref="V9" authorId="67" shapeId="0" xr:uid="{888FA544-1B01-4CC7-B0AF-5B274419A50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fuel costs, as all the other O&amp;M costs (except replacements) are considered inside O&amp;M_fix)
Price of H2 (Italy): 0.296 €/kWh
Efficiency of PEMFC 45% (el)
-&gt; 0.296 k€/MWh / 0.45 = 0.6513€/MWh
(variable cost = fuel cost only)</t>
      </text>
    </comment>
    <comment ref="W9" authorId="68" shapeId="0" xr:uid="{3E00528A-4650-4391-99E3-408A812010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9" authorId="69" shapeId="0" xr:uid="{50DBD87E-FB22-40FB-95E5-6398242308D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</t>
      </text>
    </comment>
    <comment ref="Y9" authorId="70" shapeId="0" xr:uid="{2CEAE64D-41BA-4E96-939D-AA989923E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9" authorId="71" shapeId="0" xr:uid="{71A91FF7-4FA1-44BF-A168-9BB8739507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k€/MWh_LHV-H2
(only fuel costs, as all the other O&amp;M costs (except replacements) are considered inside O&amp;M_fix)
Price of H2: 293 €/MWh
</t>
      </text>
    </comment>
    <comment ref="AA9" authorId="72" shapeId="0" xr:uid="{AC0BB08C-B483-48BF-B518-192478A1D8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9" authorId="73" shapeId="0" xr:uid="{CC51B2D6-F0FA-412F-9F56-1E1D5E6DDB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10" authorId="74" shapeId="0" xr:uid="{9354E3D6-4DCB-407A-9BBE-ABB8DEDC23C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P10" authorId="75" shapeId="0" xr:uid="{11717F03-1DD6-4B78-95B9-B8D21C9631ED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0" authorId="76" shapeId="0" xr:uid="{6CDA791D-A8DD-4A36-BDAE-CB7F75CE4D37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(€/kW_LHV-NG), 
x_in = size_input (kW_LHV-NG)
NOTE:
X_in is not the same as X of column N!</t>
      </text>
    </comment>
    <comment ref="V10" authorId="77" shapeId="0" xr:uid="{86218237-4EC4-48D6-90F4-481D080947A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67.4 €/MWh
(variable cost = fuel cost only)</t>
      </text>
    </comment>
    <comment ref="W10" authorId="78" shapeId="0" xr:uid="{2BAE6BE0-89A9-4DBC-BA9A-12C669F6CD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CF is so low due to this boilers being decentralized and redentials.</t>
      </text>
    </comment>
    <comment ref="X10" authorId="79" shapeId="0" xr:uid="{BB2715A7-5FCF-404C-80BA-CCC0631F12A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</t>
      </text>
    </comment>
    <comment ref="Y10" authorId="80" shapeId="0" xr:uid="{B058ADC0-483C-48AF-AB33-2A05B19DC2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0" authorId="81" shapeId="0" xr:uid="{BEB19DCB-B6A5-43B6-B218-8985137FC7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10" authorId="82" shapeId="0" xr:uid="{A313A28A-D6AA-4140-B61A-0B3A88233A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CF is so low due to this boilers being decentralized and redentials.</t>
      </text>
    </comment>
    <comment ref="AC10" authorId="83" shapeId="0" xr:uid="{CC5DA1A6-211E-4315-943F-630EB2B811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11" authorId="84" shapeId="0" xr:uid="{105FB133-ECB4-4787-B2DD-A0612122412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P11" authorId="85" shapeId="0" xr:uid="{86356147-81F0-4D3E-80EF-FD8D71F96367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1" authorId="86" shapeId="0" xr:uid="{1C5235A1-85BA-43D0-9BF3-AEA7CB340B22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(€/kW_LHV-NG), 
x_in = size_input (kW_LHV-NG)
NOTE:
X_in is not the same as X of column N!</t>
      </text>
    </comment>
    <comment ref="V11" authorId="87" shapeId="0" xr:uid="{B5237685-CDE3-434B-AB72-E8CF710023E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67.4 €/MWh
(variable cost = fuel cost only)</t>
      </text>
    </comment>
    <comment ref="W11" authorId="88" shapeId="0" xr:uid="{FDE69541-33BE-4D71-B602-DB0253731B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1" authorId="89" shapeId="0" xr:uid="{923501A0-4F14-4A76-8AD3-7A265905031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</t>
      </text>
    </comment>
    <comment ref="Y11" authorId="90" shapeId="0" xr:uid="{57EA561C-59EF-427E-9479-C55D749D68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1" authorId="91" shapeId="0" xr:uid="{24891338-F9C9-4127-BC5E-961063762D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11" authorId="92" shapeId="0" xr:uid="{FBFEC75B-106D-43B1-9CA8-89EDDAD481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11" authorId="93" shapeId="0" xr:uid="{C50AE702-B373-49F0-90D7-329E610F96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12" authorId="94" shapeId="0" xr:uid="{2F5ED969-335D-4CB6-9BCD-89E7271CCED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kW_LHV-NG</t>
      </text>
    </comment>
    <comment ref="P12" authorId="95" shapeId="0" xr:uid="{3DA5CE40-8890-48A2-A4A9-83645F2184F6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(€/MW_th), 
x = size (MW_th)</t>
      </text>
    </comment>
    <comment ref="Q12" authorId="96" shapeId="0" xr:uid="{981F5718-A9F3-4167-821E-7240A6D197ED}">
      <text>
        <t>[Threaded comment]
Your version of Excel allows you to read this threaded comment; however, any edits to it will get removed if the file is opened in a newer version of Excel. Learn more: https://go.microsoft.com/fwlink/?linkid=870924
Comment:
    y_in = CAPEX specific (€/MW_LHV-NG), 
x_in = size_input (MW_LHV-NG)
NOTE:
X_in is not the same as X of column N!</t>
      </text>
    </comment>
    <comment ref="V12" authorId="97" shapeId="0" xr:uid="{F93B533A-3682-46F5-A9CE-968F95E4523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67.4 €/MWh
(variable cost = fuel cost only)</t>
      </text>
    </comment>
    <comment ref="W12" authorId="98" shapeId="0" xr:uid="{56F1B77B-82CF-4B36-B646-E98F5AE3DB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2" authorId="99" shapeId="0" xr:uid="{630C2BEB-8247-455C-B536-8855F79FBEA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</t>
      </text>
    </comment>
    <comment ref="Y12" authorId="100" shapeId="0" xr:uid="{F31E9C16-D4D9-47F8-8FD1-5EA86081D4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2" authorId="101" shapeId="0" xr:uid="{F20907D4-A898-45BD-AE54-40068322FA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k€/MWh_LHV-NG
(only fuel costs, as all the other O&amp;M costs (except replacements) are considered inside O&amp;M_fix)
Price of Natural gas: 33.3 €/MWh
</t>
      </text>
    </comment>
    <comment ref="AA12" authorId="102" shapeId="0" xr:uid="{90D86809-0027-4266-8D1C-14FCDA8304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C12" authorId="103" shapeId="0" xr:uid="{0D6BFA6A-E4C3-4230-BC81-3168037B3F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13" authorId="104" shapeId="0" xr:uid="{22DB89E5-8552-4141-9BE5-FD13E082697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13" authorId="105" shapeId="0" xr:uid="{9627DA21-8568-415E-98C6-F25348B23D45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3" authorId="106" shapeId="0" xr:uid="{B734AD01-8563-4CB3-B897-9199611209BD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13" authorId="107" shapeId="0" xr:uid="{C94A63B7-9356-4E0C-8CCD-A2E68071336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>
      </text>
    </comment>
    <comment ref="W13" authorId="108" shapeId="0" xr:uid="{53EFE934-A3C9-4C48-BAEF-E247DB51A9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3" authorId="109" shapeId="0" xr:uid="{3611CD2F-7986-40CB-9EB4-C173FAC7D6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13" authorId="110" shapeId="0" xr:uid="{6398C4DA-B07E-4F88-ACA7-ED491F8724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3" authorId="111" shapeId="0" xr:uid="{0C8AD0C6-D7F7-4E6B-9452-1B496D432C4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13" authorId="112" shapeId="0" xr:uid="{B4EF2A8E-D576-4BE6-8D76-E6FBF6760F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13" authorId="113" shapeId="0" xr:uid="{BD47B02C-3282-411B-AE2B-394DDCF89A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13" authorId="114" shapeId="0" xr:uid="{1CB4F412-6C88-4782-B264-AF1D81DC38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13" authorId="115" shapeId="0" xr:uid="{083B1A03-D34D-432D-A301-7ABBE6A34155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14" authorId="116" shapeId="0" xr:uid="{4ED8AD71-7264-4609-B409-F890BB503C6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14" authorId="117" shapeId="0" xr:uid="{4447E516-88C0-4BA3-B161-3B81F8D5B60F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4" authorId="118" shapeId="0" xr:uid="{E9838604-B637-4EDF-89DA-6A630E5092C7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14" authorId="119" shapeId="0" xr:uid="{6E4E4213-2755-4D81-B7B1-1745539DA98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>
      </text>
    </comment>
    <comment ref="W14" authorId="120" shapeId="0" xr:uid="{0753A8C5-D364-4986-8863-54E1EC170B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4" authorId="121" shapeId="0" xr:uid="{4F82A085-834D-4BA5-87EE-FC8A416C31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14" authorId="122" shapeId="0" xr:uid="{8B3E1742-0E86-45CA-8EBC-E118C5989C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4" authorId="123" shapeId="0" xr:uid="{9B2B90D3-8D1A-4A2E-8DFD-7BCAE500534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14" authorId="124" shapeId="0" xr:uid="{7A673AD5-A8D6-43F5-953D-2E8FD5D576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14" authorId="125" shapeId="0" xr:uid="{2293B66E-3588-4D42-AD3E-B6F577F99F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14" authorId="126" shapeId="0" xr:uid="{A638BABB-3894-4763-B859-1B2A940F10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14" authorId="127" shapeId="0" xr:uid="{663C481D-9E3B-430B-A20A-A44C36D07F81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15" authorId="128" shapeId="0" xr:uid="{8BACBA08-E230-4F85-903E-7FB9076A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15" authorId="129" shapeId="0" xr:uid="{33AF1F44-9B96-4562-8F22-621606E56295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5" authorId="130" shapeId="0" xr:uid="{6010B8E0-6250-4C36-A2B1-B9EA9538D2D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15" authorId="131" shapeId="0" xr:uid="{CA64A369-9445-4852-AFC8-FA8FB0E456A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>
      </text>
    </comment>
    <comment ref="W15" authorId="132" shapeId="0" xr:uid="{91CD6194-6697-4179-AEAF-B5696E2C2A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5" authorId="133" shapeId="0" xr:uid="{FC3418E7-92BE-4ACA-8D70-2C1BEA2841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15" authorId="134" shapeId="0" xr:uid="{B469F9C9-7F9A-4161-98B8-072345FC8A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5" authorId="135" shapeId="0" xr:uid="{24FA6FE5-7387-4134-874E-07A820E2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15" authorId="136" shapeId="0" xr:uid="{0783F59E-4621-46BA-9859-5A92C4887E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15" authorId="137" shapeId="0" xr:uid="{88A5DC7D-941A-40CF-983A-4F21568322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15" authorId="138" shapeId="0" xr:uid="{71E02A0D-A164-4135-B386-A613E8D15E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15" authorId="139" shapeId="0" xr:uid="{286D4D40-652B-4651-8BFF-FC9854384B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16" authorId="140" shapeId="0" xr:uid="{289E94C5-CE02-410E-8A48-7DEF5F23717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16" authorId="141" shapeId="0" xr:uid="{F2CC4A39-26C1-4F7C-A1E9-D0D5B581E35F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6" authorId="142" shapeId="0" xr:uid="{15239592-CB6E-430C-9222-A076CD40A48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16" authorId="143" shapeId="0" xr:uid="{84C3C1AA-0401-48D4-8027-FEF5D3DBFD8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>
      </text>
    </comment>
    <comment ref="W16" authorId="144" shapeId="0" xr:uid="{F8E93709-760F-4B09-8075-6837F7A9B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6" authorId="145" shapeId="0" xr:uid="{5504468F-A554-4FF4-9D10-279F1622BA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16" authorId="146" shapeId="0" xr:uid="{D0FAB09A-3AB9-4BC2-8AAE-10EFD2CBF8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6" authorId="147" shapeId="0" xr:uid="{552404F1-B67A-48F2-A438-078968B0B4D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16" authorId="148" shapeId="0" xr:uid="{FBE1D525-2BA7-451A-892B-DD32B824DA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16" authorId="149" shapeId="0" xr:uid="{CC699E2C-F01F-4C1A-A37B-0CD262283C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16" authorId="150" shapeId="0" xr:uid="{10F31E19-E113-4438-BDC5-793F79F05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16" authorId="151" shapeId="0" xr:uid="{79C77FAB-FC1F-4780-9C66-96C98BBEF0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17" authorId="152" shapeId="0" xr:uid="{500582F8-7755-427C-B019-011DBF9688E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17" authorId="153" shapeId="0" xr:uid="{4C129D91-2138-46A7-98A7-5FA3211D4DA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7" authorId="154" shapeId="0" xr:uid="{08FFA8BB-3D53-450B-BC40-86558754DD5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17" authorId="155" shapeId="0" xr:uid="{59B2B577-8DB0-4E6B-AD83-7795818634D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2.96
Residential Electricity cost = 0.2872 €/kWh (from [122])
Industril Electricity cost = 0.1899€/kWh (from [122])</t>
      </text>
    </comment>
    <comment ref="W17" authorId="156" shapeId="0" xr:uid="{C8B40CA1-44CA-4073-85C6-917F97D0F6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7" authorId="157" shapeId="0" xr:uid="{0F15AF6A-1C47-48F2-9964-D5286D78EA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17" authorId="158" shapeId="0" xr:uid="{CA830E5E-9156-4E4B-86A1-672D3DF9C3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7" authorId="159" shapeId="0" xr:uid="{C14CC9CF-AE5E-4BB3-876B-9DF5CD8F4A3E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17" authorId="160" shapeId="0" xr:uid="{0D99D2AC-8CFC-464E-8515-96C9A3EC15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17" authorId="161" shapeId="0" xr:uid="{1D98F920-6C93-4A1E-A1D2-678F0AD186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17" authorId="162" shapeId="0" xr:uid="{5CD1093B-C254-40DA-A39D-8B2E144E25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17" authorId="163" shapeId="0" xr:uid="{F494F4DB-EC36-40E0-9875-E15884BA674B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18" authorId="164" shapeId="0" xr:uid="{1EB02F3C-A0FA-4C6E-AF8B-06F5A919A5A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18" authorId="165" shapeId="0" xr:uid="{4E62DD59-3A1D-4889-BACB-F6441007B01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8" authorId="166" shapeId="0" xr:uid="{F0CE34FB-E321-4266-9C8B-42BAE2EB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18" authorId="167" shapeId="0" xr:uid="{C08A66EC-13EA-47AB-A6EA-AA40A48C7AC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2.96
Residential Electricity cost = 0.2872 €/kWh (from [122])
Industril Electricity cost = 0.1899€/kWh (from [122])</t>
      </text>
    </comment>
    <comment ref="W18" authorId="168" shapeId="0" xr:uid="{C8DF8641-E1B4-49C1-9296-E156212373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8" authorId="169" shapeId="0" xr:uid="{4D55624A-3B7F-4368-BF4B-A8889793D9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18" authorId="170" shapeId="0" xr:uid="{4283FD82-F17E-46EC-B78A-1286118B25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8" authorId="171" shapeId="0" xr:uid="{A8D9EBE8-5C12-4E4F-9B78-5B6846B5563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18" authorId="172" shapeId="0" xr:uid="{4570650D-E102-4EBB-B99F-5D0C1AAA76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18" authorId="173" shapeId="0" xr:uid="{12B3FEB6-DC8D-4F62-9CB5-D91D750CE2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18" authorId="174" shapeId="0" xr:uid="{0AE5643E-A9F6-43B5-98F5-401FB56BE6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18" authorId="175" shapeId="0" xr:uid="{F51F5532-ED7D-499D-8489-68F24B1C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19" authorId="176" shapeId="0" xr:uid="{F3B8FDAB-B929-465E-9E28-E44E0C16781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19" authorId="177" shapeId="0" xr:uid="{B4D246D9-C76C-4911-BF5D-29491D7B28C3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19" authorId="178" shapeId="0" xr:uid="{0416B62C-8123-43C2-B254-5B3980514FE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19" authorId="179" shapeId="0" xr:uid="{64D10A28-DDB0-4EF6-98D3-BB7A3A1BF42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2.96
Residential Electricity cost = 0.2872 €/kWh (from [122])
Industril Electricity cost = 0.1899€/kWh (from [122])</t>
      </text>
    </comment>
    <comment ref="W19" authorId="180" shapeId="0" xr:uid="{3E4C684F-F3D9-489F-AAAA-A36258337C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19" authorId="181" shapeId="0" xr:uid="{2793B59B-4E1B-4611-801F-49C68D2483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19" authorId="182" shapeId="0" xr:uid="{7B7F7384-1E82-48D4-A126-36C24914A7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19" authorId="183" shapeId="0" xr:uid="{F52486A9-B094-4014-86EA-58B995B7ED7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19" authorId="184" shapeId="0" xr:uid="{B0F98EE1-05DB-4AEA-B71C-83DD675CB7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19" authorId="185" shapeId="0" xr:uid="{0CCEA96E-972F-4249-AC89-05E7E5653C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19" authorId="186" shapeId="0" xr:uid="{0C06866F-6913-40D2-9D5E-CE0E9003CA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19" authorId="187" shapeId="0" xr:uid="{ED20DFAC-3405-44E1-8B7A-67C480C7C47E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20" authorId="188" shapeId="0" xr:uid="{3009B20D-0D15-4873-B3C0-1A0B4FE542E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20" authorId="189" shapeId="0" xr:uid="{58F7BB4D-981F-4C4C-BE86-9868F35CB563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0" authorId="190" shapeId="0" xr:uid="{D45190F7-1155-4DB5-90D8-8D745726A89F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0" authorId="191" shapeId="0" xr:uid="{F275A212-1E77-48CF-B28B-5289601D7DC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2.96
Residential Electricity cost = 0.2872 €/kWh (from [122])
Industril Electricity cost = 0.1899€/kWh (from [122])</t>
      </text>
    </comment>
    <comment ref="W20" authorId="192" shapeId="0" xr:uid="{43A2A71B-A772-45C2-AC43-2A96CCA267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20" authorId="193" shapeId="0" xr:uid="{6DD9CC20-75B0-425E-9765-DF7BB5017D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0" authorId="194" shapeId="0" xr:uid="{F01CF9AB-D7F2-49C9-B105-41A79FF8D5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0" authorId="195" shapeId="0" xr:uid="{5FAAD86C-16A5-4244-B311-321AC2C4E22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0" authorId="196" shapeId="0" xr:uid="{A5E02285-286A-4F61-87BE-29D868AD3E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20" authorId="197" shapeId="0" xr:uid="{373C07F6-E26F-4EAE-8D44-353C5A8F18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0" authorId="198" shapeId="0" xr:uid="{1A92BBFF-9EEB-45EB-B698-0BC4D89E64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0" authorId="199" shapeId="0" xr:uid="{8B59DE99-0376-4B92-BF82-B144F53B3E39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21" authorId="200" shapeId="0" xr:uid="{5A3EB5FC-9BE5-4D50-AFD8-C7A7FB6CD18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21" authorId="201" shapeId="0" xr:uid="{DB6E2972-DF40-4DD9-906A-DC8B0CDAEAE1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1" authorId="202" shapeId="0" xr:uid="{A3C3F7A1-9B47-4417-97A7-F2512BAF9396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1" authorId="203" shapeId="0" xr:uid="{8E738C04-0F03-488B-AD1B-75A6985EEC2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4.6
Industril Electricity cost = 0.1899€/kWh (from [122])
0.04128 (industrial - energetici)</t>
      </text>
    </comment>
    <comment ref="W21" authorId="204" shapeId="0" xr:uid="{E5DDDEEB-325C-4730-A250-59B57BFC11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21" authorId="205" shapeId="0" xr:uid="{F179F3B8-A7AE-4C16-87F7-5877309F1D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1" authorId="206" shapeId="0" xr:uid="{2C418478-009E-446E-B6A2-3FEDF83DE4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1" authorId="207" shapeId="0" xr:uid="{0C8F066D-BCD3-4B7F-AE3D-3D295C3876E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1" authorId="208" shapeId="0" xr:uid="{E2FC4D90-FB23-44D3-B354-3C8F8E9C5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21" authorId="209" shapeId="0" xr:uid="{628DDAC8-DAD0-4760-B485-779EACC958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1" authorId="210" shapeId="0" xr:uid="{B5255B54-D51A-4765-9A27-9ED9452EA9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1" authorId="211" shapeId="0" xr:uid="{C9769D46-E4FD-4770-A176-D43A01527129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22" authorId="212" shapeId="0" xr:uid="{8A045E3D-F30A-4F15-9E60-CB2C8831AB5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22" authorId="213" shapeId="0" xr:uid="{D28A77E3-A38A-4425-A32C-EE362C8DFC84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2" authorId="214" shapeId="0" xr:uid="{22E81770-73AC-4779-9B17-CBC0B51D0F8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2" authorId="215" shapeId="0" xr:uid="{9E0D634B-821B-443D-8452-2D29FDAD31F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4.8
Industril Electricity cost = 0.1899€/kWh (from [122])
0.03956 (industrial - energetici)</t>
      </text>
    </comment>
    <comment ref="W22" authorId="216" shapeId="0" xr:uid="{D8BD17ED-4965-419C-8250-317CC32D5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22" authorId="217" shapeId="0" xr:uid="{E605C9B4-48A0-44F5-BDC3-E64D2168A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2" authorId="218" shapeId="0" xr:uid="{89F4F643-E5D9-4FF7-9E08-A191BA2492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2" authorId="219" shapeId="0" xr:uid="{122EC01D-E2BB-48D3-9F25-EBB3A92E164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2" authorId="220" shapeId="0" xr:uid="{A117913B-5A44-4B1F-B063-846077C0F3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22" authorId="221" shapeId="0" xr:uid="{E5DF4AAD-57D8-433A-97B3-7749AFC4A2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2" authorId="222" shapeId="0" xr:uid="{E25ED110-9E85-4711-B39C-D71378B869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2" authorId="223" shapeId="0" xr:uid="{8811AD5A-DCC6-4A5C-AFCA-46AD3A317AE3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23" authorId="224" shapeId="0" xr:uid="{6BD67312-82B7-4398-9BD5-284348AF39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23" authorId="225" shapeId="0" xr:uid="{C2065AB9-3B8D-4257-A6C5-CA8E7C0E44AF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3" authorId="226" shapeId="0" xr:uid="{12376DD8-E13A-4151-B0FF-D61DF21971C6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3" authorId="227" shapeId="0" xr:uid="{5A085F10-5BC5-48AE-AAF9-28739866573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23" authorId="228" shapeId="0" xr:uid="{6BBDFBE3-8AAB-4A03-82BF-CE15A1ABB0E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23" authorId="229" shapeId="0" xr:uid="{DBF4CDA2-FBDE-454D-B9BB-A5532BA25A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3" authorId="230" shapeId="0" xr:uid="{92BE0CBE-B8E4-4DB7-8A74-6CAB3CE8D4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3" authorId="231" shapeId="0" xr:uid="{998A4EDD-7D50-4720-841F-F6B7D2890AE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3" authorId="232" shapeId="0" xr:uid="{5EC61F91-91EB-478F-977D-90CBF5A5A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23" authorId="233" shapeId="0" xr:uid="{FDE08AB5-B92B-4AD4-9472-31998081AB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3" authorId="234" shapeId="0" xr:uid="{4A6A5C4F-9D15-489E-A31F-DF851354AC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3" authorId="235" shapeId="0" xr:uid="{307C68A2-1BE3-4877-9D25-87547034D34E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24" authorId="236" shapeId="0" xr:uid="{6EFBFDED-DA0F-4ED4-8956-82B0F3F29B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24" authorId="237" shapeId="0" xr:uid="{54CC0AC7-2F8F-4BBC-8AF0-9440A6DCC6AD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4" authorId="238" shapeId="0" xr:uid="{77B84449-3970-4574-9227-728490D39B06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4" authorId="239" shapeId="0" xr:uid="{86E573EA-06C7-4D19-A236-67BAC92537A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24" authorId="240" shapeId="0" xr:uid="{8843642E-C3C1-4C58-9F8B-7BA21CE190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24" authorId="241" shapeId="0" xr:uid="{2CF7E75C-DE17-44A0-B772-67B09A58CE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4" authorId="242" shapeId="0" xr:uid="{FB1067A3-1356-4109-8F55-D10E67FE2E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4" authorId="243" shapeId="0" xr:uid="{0655FB18-36C3-4C77-B288-2340D9A863D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4" authorId="244" shapeId="0" xr:uid="{952DCBF2-FBCA-4CAF-9827-8C737152E51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24" authorId="245" shapeId="0" xr:uid="{9E493591-5666-4357-92E6-1DDA81A7F3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4" authorId="246" shapeId="0" xr:uid="{37C5BEB5-E510-45C4-BD89-39FC920460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4" authorId="247" shapeId="0" xr:uid="{B37A87C5-0CC8-4F04-9DD4-F7B59B322E25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25" authorId="248" shapeId="0" xr:uid="{2FDCB6E1-A891-40FD-8081-EB760EBB00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25" authorId="249" shapeId="0" xr:uid="{4C178835-BC77-4371-A027-085D79FB7E2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5" authorId="250" shapeId="0" xr:uid="{8D3BA5A1-F821-41CF-BBD3-63B88A8BCEB9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5" authorId="251" shapeId="0" xr:uid="{E493CD19-6DC2-4647-8C49-B41F6D0C6C6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25" authorId="252" shapeId="0" xr:uid="{E28A3091-B76D-4E63-BBFD-40A134E15BE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25" authorId="253" shapeId="0" xr:uid="{768F1188-C884-422E-9B3D-68EE4C52FA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5" authorId="254" shapeId="0" xr:uid="{268177EE-28AC-4CA1-B0CB-52E09088E2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5" authorId="255" shapeId="0" xr:uid="{F09AD262-135C-4862-A2BE-343952C1C35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5" authorId="256" shapeId="0" xr:uid="{61BF6F11-2917-4BA6-9EFD-67225659DB0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25" authorId="257" shapeId="0" xr:uid="{F666F7B1-F738-4598-8368-460BF87DA7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5" authorId="258" shapeId="0" xr:uid="{E4A61942-6BC5-49DB-A071-654FB9ADED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5" authorId="259" shapeId="0" xr:uid="{24877A98-F734-4993-AAC5-93882D3F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26" authorId="260" shapeId="0" xr:uid="{DD571C13-CBF8-40A5-B09C-22266E28DA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26" authorId="261" shapeId="0" xr:uid="{CDC10075-4CA8-481A-96A5-4170DE8633D4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6" authorId="262" shapeId="0" xr:uid="{7B195DB4-8F92-46BC-B830-AF378607CE54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6" authorId="263" shapeId="0" xr:uid="{93800A4E-9389-4444-8510-A7CDBD4F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26" authorId="264" shapeId="0" xr:uid="{F178EBBE-FCEA-47F5-BDAF-A0AF5E7E89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26" authorId="265" shapeId="0" xr:uid="{3963F8FA-A035-4C00-8E52-3CE2A2B07D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6" authorId="266" shapeId="0" xr:uid="{B8F28F67-B13D-4AD7-B0B5-BEA0380403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6" authorId="267" shapeId="0" xr:uid="{FA7EA888-CF43-416D-803D-3C35BC9D43A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6" authorId="268" shapeId="0" xr:uid="{49E15648-7AC0-4F84-B3E9-4D07509EB51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26" authorId="269" shapeId="0" xr:uid="{992E7663-78D9-413E-B9B2-B775E5DF7E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6" authorId="270" shapeId="0" xr:uid="{3C967269-D0A4-4114-8676-3567DB4B68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6" authorId="271" shapeId="0" xr:uid="{A6B8DB39-3162-40A3-A819-A812C71FAE70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27" authorId="272" shapeId="0" xr:uid="{DBCF4AB5-C007-4A9B-B175-DDC235F9AE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27" authorId="273" shapeId="0" xr:uid="{EF1E6248-773A-49AB-AB0E-C5DCC00258F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7" authorId="274" shapeId="0" xr:uid="{2648E153-CAA1-482D-B3EB-2A14561215D3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7" authorId="275" shapeId="0" xr:uid="{AD0533C5-5B1E-440A-A80C-7C81115E6C4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27" authorId="276" shapeId="0" xr:uid="{D6E67F76-D2C6-4D5F-954E-51CEEBA62E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27" authorId="277" shapeId="0" xr:uid="{1117ADC2-BA10-4D30-9856-91B7BC5362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7" authorId="278" shapeId="0" xr:uid="{D63245D7-DB10-4F60-A514-4F5E2A05D5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7" authorId="279" shapeId="0" xr:uid="{FE5B6A82-1A34-4968-BD9B-B3872B8BEA2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7" authorId="280" shapeId="0" xr:uid="{9C59F70E-CABD-4B8F-9BB7-C5B5B9866C4D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27" authorId="281" shapeId="0" xr:uid="{9D2D00A8-F59D-4271-AA05-21C552795D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7" authorId="282" shapeId="0" xr:uid="{2B0E560A-B003-4038-B922-D45560A03C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7" authorId="283" shapeId="0" xr:uid="{B06F8E12-9E72-4B15-8537-8CACC459773E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28" authorId="284" shapeId="0" xr:uid="{84E084B2-C782-4EC8-A6AB-4C6D63146E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28" authorId="285" shapeId="0" xr:uid="{3A3C26B7-8580-4DAE-88CD-F95E09F2E18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8" authorId="286" shapeId="0" xr:uid="{FD63D76E-30FC-40B0-B7B3-5363528AF47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8" authorId="287" shapeId="0" xr:uid="{BCD76652-A958-454A-B090-AD0F30189BA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28" authorId="288" shapeId="0" xr:uid="{4C93D281-ECC3-4312-B7C1-117008913CE2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28" authorId="289" shapeId="0" xr:uid="{BCD2A739-0B45-45C5-99CB-F1BAEB98C1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8" authorId="290" shapeId="0" xr:uid="{D32E701D-3216-435A-9281-6F640AC7E5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8" authorId="291" shapeId="0" xr:uid="{B4C07288-CAAF-4B41-BAE5-58096585557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8" authorId="292" shapeId="0" xr:uid="{2F5F64B5-F445-4F2B-86E5-2C4D8A898AE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28" authorId="293" shapeId="0" xr:uid="{3F85EDF8-603D-4570-97E9-212EFBA5BC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8" authorId="294" shapeId="0" xr:uid="{B010A7EE-68F8-44F6-93D8-9D6584A1D8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8" authorId="295" shapeId="0" xr:uid="{356D26DE-B074-4CAA-8F6B-090F361E783D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29" authorId="296" shapeId="0" xr:uid="{DBF9E67D-B45D-4011-8C79-91B19BC020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29" authorId="297" shapeId="0" xr:uid="{79C114BD-2F22-4A17-A6F8-9C82FFCBF1C4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29" authorId="298" shapeId="0" xr:uid="{5148E199-A593-4A00-BFDB-E9078370483C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29" authorId="299" shapeId="0" xr:uid="{5CDA4EA1-2775-4D8D-A186-60DFA0688F1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29" authorId="300" shapeId="0" xr:uid="{A340E718-9F50-43A8-A9E7-68C6877592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29" authorId="301" shapeId="0" xr:uid="{2A4A463F-B86E-4D90-9B2B-1093092434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29" authorId="302" shapeId="0" xr:uid="{4083CAA8-F61A-48EB-B0F7-9C0D8E5512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29" authorId="303" shapeId="0" xr:uid="{C0653F80-B706-4773-BCD2-3CA3FE55860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29" authorId="304" shapeId="0" xr:uid="{37EEF413-CAB4-47E0-A6F3-DB939B13C85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29" authorId="305" shapeId="0" xr:uid="{A3CDA6B5-A508-4DDB-B917-201CA83076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29" authorId="306" shapeId="0" xr:uid="{4DE02923-C7AC-422C-90E6-DAE44F1E4C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29" authorId="307" shapeId="0" xr:uid="{1C5418C7-C48E-46A4-85DD-FD686AE24F47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30" authorId="308" shapeId="0" xr:uid="{341B615D-F149-4D1F-A2B1-DBEB16AB03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0" authorId="309" shapeId="0" xr:uid="{7089BB30-1CAC-403C-8E17-B2497E631FCF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0" authorId="310" shapeId="0" xr:uid="{56DCCDF3-869D-44CC-B761-ED4698738C6E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0" authorId="311" shapeId="0" xr:uid="{106D4C9A-A977-4A33-87CA-FB0E46163B5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30" authorId="312" shapeId="0" xr:uid="{60BAAEF7-5874-4874-8196-F29FA2A6EA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0" authorId="313" shapeId="0" xr:uid="{484FC205-A8AE-4587-A4EA-7E47E69828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0" authorId="314" shapeId="0" xr:uid="{48B50CCD-D84E-484A-A699-E4AC41E7A5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0" authorId="315" shapeId="0" xr:uid="{11A14172-A6F2-4D8F-92D6-0218F9ED9B2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0" authorId="316" shapeId="0" xr:uid="{512BEA6F-C883-4440-A356-89F3ED98E4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0" authorId="317" shapeId="0" xr:uid="{B9A67B7B-51F7-41CE-AEAA-D6F188CF57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0" authorId="318" shapeId="0" xr:uid="{528911A0-3ADF-47AB-91F5-7A3E2DA8E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0" authorId="319" shapeId="0" xr:uid="{A78A397E-ACAA-4A98-BC32-0FDD38999FF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31" authorId="320" shapeId="0" xr:uid="{05D6663D-2DFE-4893-9E16-7CD059A8AA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1" authorId="321" shapeId="0" xr:uid="{741C4121-369C-4C62-A785-8DD8D0C4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1" authorId="322" shapeId="0" xr:uid="{BCE9F6B5-F1E5-4201-9E40-81B75E00CD86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1" authorId="323" shapeId="0" xr:uid="{DDB2EAA5-1AD5-4D25-8DC8-1A59EC97060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31" authorId="324" shapeId="0" xr:uid="{BCD4FBB4-B35A-4FCF-90F1-EB62DAB490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1" authorId="325" shapeId="0" xr:uid="{98383AC1-7635-4F2A-9327-2B714420AC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1" authorId="326" shapeId="0" xr:uid="{8A24F276-97B8-461A-B81D-6847D39A44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1" authorId="327" shapeId="0" xr:uid="{37831F7C-A943-4E5E-9D63-9F8398E9AA0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1" authorId="328" shapeId="0" xr:uid="{F8F5B5D3-763C-4B88-B34A-1F0587336C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1" authorId="329" shapeId="0" xr:uid="{1D3F2281-26C1-4F4C-875C-2DBE06043D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1" authorId="330" shapeId="0" xr:uid="{2B5144A7-BD91-40B2-932C-6581F2F2D7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1" authorId="331" shapeId="0" xr:uid="{1DF9183C-5271-49FA-B21B-25F6A1F7168D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32" authorId="332" shapeId="0" xr:uid="{6348A1B9-CFC9-4F84-B080-DB0A056A93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2" authorId="333" shapeId="0" xr:uid="{696D8768-16AC-4270-B570-CBF31BA4A913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2" authorId="334" shapeId="0" xr:uid="{DAD7592C-A99F-4FAF-AD97-5535E09AB56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2" authorId="335" shapeId="0" xr:uid="{76DF2A11-FCC4-4F5D-AD77-D4142E922DF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32" authorId="336" shapeId="0" xr:uid="{1CD71EF6-8BE8-4E1F-9DCE-2E18A6AA3C1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2" authorId="337" shapeId="0" xr:uid="{E9446100-2E55-472D-975A-75217632D1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2" authorId="338" shapeId="0" xr:uid="{11EFD222-5BAA-4DD7-AE76-044F0AEF89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2" authorId="339" shapeId="0" xr:uid="{1D190BD2-928A-49F9-AE28-7A2F7D79E62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2" authorId="340" shapeId="0" xr:uid="{D72DB6AD-9E81-43C7-AD2D-A186479942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2" authorId="341" shapeId="0" xr:uid="{3889451D-DE29-4076-B742-7E080EE1C3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2" authorId="342" shapeId="0" xr:uid="{3E34CA14-E370-497E-860A-3B66794155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2" authorId="343" shapeId="0" xr:uid="{3296F67B-165D-4D3F-8F0D-11BB26A88EB3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33" authorId="344" shapeId="0" xr:uid="{00C3485B-CE51-413F-8844-225216FDA8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3" authorId="345" shapeId="0" xr:uid="{DECA4BBC-489A-4144-91B1-62265A79CD4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3" authorId="346" shapeId="0" xr:uid="{4478AB12-EE68-46B3-A6B9-C97593E0842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3" authorId="347" shapeId="0" xr:uid="{4B0D1D62-C4A1-4A96-B086-1C35A3E9C44E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33" authorId="348" shapeId="0" xr:uid="{10E4617D-0FA1-4019-AA5B-2D16B1EAB0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3" authorId="349" shapeId="0" xr:uid="{B822323C-A93D-45F9-9770-6D001AAE86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3" authorId="350" shapeId="0" xr:uid="{7E0DF3C3-0D45-4931-A4A9-063C745AF2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3" authorId="351" shapeId="0" xr:uid="{E78120BB-AC92-4E51-9C92-0C4A42A408B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3" authorId="352" shapeId="0" xr:uid="{006C8676-986A-4083-9428-930E43830D3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3" authorId="353" shapeId="0" xr:uid="{32937339-5004-44C5-9023-A208B48CCE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3" authorId="354" shapeId="0" xr:uid="{D0EC378D-549B-4135-8815-6B7E72141D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3" authorId="355" shapeId="0" xr:uid="{D1B88554-87A2-4326-9EFB-F901161C0B0F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34" authorId="356" shapeId="0" xr:uid="{D1B92211-AF58-492D-91DF-AFC2E8F63E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4" authorId="357" shapeId="0" xr:uid="{26044522-6ADD-447A-801F-F85F492B1AAE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4" authorId="358" shapeId="0" xr:uid="{E968B8E1-94ED-46B6-802C-4B151A6E91B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4" authorId="359" shapeId="0" xr:uid="{50BF951B-FC14-46CC-8EE4-5C97B0F1949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34" authorId="360" shapeId="0" xr:uid="{90583875-6D81-4887-8B83-650065CE61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4" authorId="361" shapeId="0" xr:uid="{10E419AA-41D7-44F0-9480-78420AF768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4" authorId="362" shapeId="0" xr:uid="{901E2605-FC13-4BF3-A3F2-C005A838F2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4" authorId="363" shapeId="0" xr:uid="{0626704A-6E07-4ED1-AB70-3A1DA9A2136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4" authorId="364" shapeId="0" xr:uid="{E4055987-2CBC-4B64-B92B-6AC1A9E468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4" authorId="365" shapeId="0" xr:uid="{6F6F22B1-AA50-4DCD-BC9E-60D8C7D099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4" authorId="366" shapeId="0" xr:uid="{AC0AB84E-5B75-48AF-BA8B-3D2744AB99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4" authorId="367" shapeId="0" xr:uid="{D6D9AD5F-68BF-4750-9D04-C696BE61422F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35" authorId="368" shapeId="0" xr:uid="{3851708C-DD85-4041-8D85-B5C9D07B39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5" authorId="369" shapeId="0" xr:uid="{8526F01F-6CD7-4E96-8E44-746CBD718399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5" authorId="370" shapeId="0" xr:uid="{8C3E5C89-5C59-4176-AC01-14D4F0AA4B6D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5" authorId="371" shapeId="0" xr:uid="{BC7C60C9-BB39-486F-B67E-47405C4F73E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35" authorId="372" shapeId="0" xr:uid="{4CCA1DB8-C64D-4BCB-96E8-921F2A5FECD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5" authorId="373" shapeId="0" xr:uid="{6C8A904E-178B-4F71-9172-0A0895BFDE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5" authorId="374" shapeId="0" xr:uid="{9AE77164-FD60-436B-AEBD-966EC57E16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5" authorId="375" shapeId="0" xr:uid="{977372C4-E37E-4CEF-AB64-0BC6434DF18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5" authorId="376" shapeId="0" xr:uid="{CDE64B9A-FDE4-412A-B54E-D252D90E3C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5" authorId="377" shapeId="0" xr:uid="{6DBB72FB-A366-4F35-8F2F-4C42479856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5" authorId="378" shapeId="0" xr:uid="{675E91DA-E32D-43AC-86E6-DF5BA31BF0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5" authorId="379" shapeId="0" xr:uid="{0C16C97C-FD03-4D5D-8FAB-AE2B597A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C36" authorId="380" shapeId="0" xr:uid="{CB71D5E5-6164-48AD-992A-DB5C4D0515F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Theoretical, as collectors are horizontal (and vertical collectors are Borehole probes), and land size required would be a problem.</t>
      </text>
    </comment>
    <comment ref="D36" authorId="381" shapeId="0" xr:uid="{52B0BF2F-C9F1-45B2-94FC-BCDA88D4D3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6" authorId="382" shapeId="0" xr:uid="{EC8AB213-D586-42B2-BF68-22A2C9037DC7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6" authorId="383" shapeId="0" xr:uid="{61B1EB85-10EC-484B-894A-9477BF1E2177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6" authorId="384" shapeId="0" xr:uid="{EAA6C044-A78D-4DFC-B5AD-2A37AFB008C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36" authorId="385" shapeId="0" xr:uid="{9802CE2C-CCCC-479D-8B18-78C73AB03F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6" authorId="386" shapeId="0" xr:uid="{B49CEE0C-CBF6-451A-B12B-57B3FC20C7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6" authorId="387" shapeId="0" xr:uid="{CFA5321C-479C-4C7A-8377-66C0FE9EE3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6" authorId="388" shapeId="0" xr:uid="{0FDACDF0-E581-4092-B52F-19C6B284C14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6" authorId="389" shapeId="0" xr:uid="{78883199-31BA-4DC6-8953-2132FC95828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6" authorId="390" shapeId="0" xr:uid="{C5E99EA2-0F86-456B-A657-903BFB5AE7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6" authorId="391" shapeId="0" xr:uid="{DA6D3F18-12D1-4D86-B598-3A5E8A30DD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6" authorId="392" shapeId="0" xr:uid="{09A63DF4-A17A-4DC0-9C9A-168CAB3FCA95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C37" authorId="393" shapeId="0" xr:uid="{AC538D73-60AA-4B1B-AFC5-9D316F994B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Theoretical, as collectors are horizontal (and vertical collectors are Borehole probes), and land size required would be a problem.</t>
      </text>
    </comment>
    <comment ref="D37" authorId="394" shapeId="0" xr:uid="{00CDE370-363F-4F47-AE25-E7D282B73D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7" authorId="395" shapeId="0" xr:uid="{1B1ACCEF-ADF1-4922-89A8-F300291CFDE9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7" authorId="396" shapeId="0" xr:uid="{6E579191-FB1F-4527-9D8B-F5A7271460F6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7" authorId="397" shapeId="0" xr:uid="{8A797267-806B-43E8-B317-24DE116E42E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>
      </text>
    </comment>
    <comment ref="W37" authorId="398" shapeId="0" xr:uid="{1193BD2E-372C-471F-B4B0-1D5D4DEBD24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7" authorId="399" shapeId="0" xr:uid="{B029A944-6AFC-4DC9-B707-86710F00D8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7" authorId="400" shapeId="0" xr:uid="{913A99A8-6AF1-4F8F-95A7-21232ED7BB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7" authorId="401" shapeId="0" xr:uid="{A4F7BC27-8DEB-43A0-A1BB-6D180C68786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7" authorId="402" shapeId="0" xr:uid="{BE3D142C-355A-46EA-93CB-606F21A22942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7" authorId="403" shapeId="0" xr:uid="{D1FAD821-B99F-42E7-98B7-0E355D2368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7" authorId="404" shapeId="0" xr:uid="{D2F61F6A-E960-486A-ADEC-B5B5DA5375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7" authorId="405" shapeId="0" xr:uid="{13B3CA58-DFD0-4AA7-81D7-F6CA7D50EEFD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D38" authorId="406" shapeId="0" xr:uid="{11DD7225-21FE-4974-A29C-812AA6402C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8" authorId="407" shapeId="0" xr:uid="{B951B3E5-72EC-493E-8356-176B6793C58B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8" authorId="408" shapeId="0" xr:uid="{501F8D21-E6F4-4784-BC6F-E502F1FF1863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8" authorId="409" shapeId="0" xr:uid="{7B7B4ECC-780D-4EC6-9256-3A2587D878F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38" authorId="410" shapeId="0" xr:uid="{5B1F94FC-F046-4ECF-971E-A59F354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8" authorId="411" shapeId="0" xr:uid="{46CA2447-02CB-4CD6-8E2C-2694CA2D33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8" authorId="412" shapeId="0" xr:uid="{CFFE4097-905A-419D-959D-3E0BC05DD3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8" authorId="413" shapeId="0" xr:uid="{E21F7384-7480-46AA-BFD5-6A433E8951B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8" authorId="414" shapeId="0" xr:uid="{416B88BA-A6B7-41A6-9A3F-21AF2A4282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8" authorId="415" shapeId="0" xr:uid="{AACF73C9-80BA-46C0-B59D-F5B5569E9B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8" authorId="416" shapeId="0" xr:uid="{C380F79E-4F05-4E48-B288-67B9F035BA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8" authorId="417" shapeId="0" xr:uid="{46262CFE-E61A-4680-8412-3057178FB4F2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39" authorId="418" shapeId="0" xr:uid="{67BB3220-B846-495A-9869-4AA2C2DE4E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39" authorId="419" shapeId="0" xr:uid="{40A33239-26FD-4EE1-9BDE-F8AAEFC0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39" authorId="420" shapeId="0" xr:uid="{AB38C5F2-171E-4C53-93CB-6F619A0CB90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39" authorId="421" shapeId="0" xr:uid="{39CC0B4B-3F2E-4E91-8A03-67338AFBA3A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39" authorId="422" shapeId="0" xr:uid="{1771FAE4-8E90-4FCE-A8DC-A97602E1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39" authorId="423" shapeId="0" xr:uid="{87405D9C-5BC0-40CB-AFC1-028E9CEA82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39" authorId="424" shapeId="0" xr:uid="{6A9706DB-2EEF-49B6-9651-9E89C30ACF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39" authorId="425" shapeId="0" xr:uid="{5D7B2781-CDFC-4849-B3B6-3F0A725A7E5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39" authorId="426" shapeId="0" xr:uid="{10FEE559-7604-4A34-B1B4-0CF454D0CF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39" authorId="427" shapeId="0" xr:uid="{10069F26-C967-449A-9DC5-DE7C2D2F85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39" authorId="428" shapeId="0" xr:uid="{F9974E6C-E5A5-466B-A99E-9714FEC22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39" authorId="429" shapeId="0" xr:uid="{779B2502-D371-4D4E-9F1B-20D7AF777BBD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D40" authorId="430" shapeId="0" xr:uid="{8E0975E6-955F-472F-B8EA-8A43E58422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40" authorId="431" shapeId="0" xr:uid="{4A9633E2-11A1-45DC-9506-987F618C2D4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40" authorId="432" shapeId="0" xr:uid="{16DFDAF4-28B3-44CB-9DEB-072D7715715D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40" authorId="433" shapeId="0" xr:uid="{59A5EFFA-4FB0-41D6-AF39-95CE8D6F70B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
EER taken = 4.98
Residential Electricity cost = 0.2872 €/kWh (from [122])
Industril Electricity cost = 0.1899€/kWh (from [122])</t>
      </text>
    </comment>
    <comment ref="W40" authorId="434" shapeId="0" xr:uid="{C7ED42FB-C1D9-471A-B209-8C35CCF8D1F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40" authorId="435" shapeId="0" xr:uid="{FB6E0579-EAA5-49CF-BA82-9A29E6E751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40" authorId="436" shapeId="0" xr:uid="{A669BA0F-F033-45AB-8A43-27503142EB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40" authorId="437" shapeId="0" xr:uid="{D2273F5B-E507-4878-8C68-604A0DCC37F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40" authorId="438" shapeId="0" xr:uid="{9AAA75DD-6D6F-439B-830F-B1839222AC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40" authorId="439" shapeId="0" xr:uid="{65A115D0-CC05-400D-9946-2B5E542FAB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40" authorId="440" shapeId="0" xr:uid="{A0A020DC-37EC-4535-9753-5EEAA6F367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AE40" authorId="441" shapeId="0" xr:uid="{38980549-504B-4820-8BF9-95E9D1EED958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C41" authorId="442" shapeId="0" xr:uid="{5D56F284-B827-4E23-BA6B-0CBD7C3A75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kW_LHV-H2
</t>
      </text>
    </comment>
    <comment ref="P41" authorId="443" shapeId="0" xr:uid="{37BE6369-E9A1-4668-B9AE-9185E3C129B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$/kW_LHV-H2</t>
      </text>
    </comment>
    <comment ref="Q41" authorId="444" shapeId="0" xr:uid="{CF01DEEF-D5D9-4DC4-B746-48680EFA102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$/kW_el</t>
      </text>
    </comment>
    <comment ref="V41" authorId="445" shapeId="0" xr:uid="{B4912ADD-C7B4-4E96-91AC-CB25127722E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k€/MWh_LHV-H2
(only electricity costs, as all the other O&amp;M costs (except replacements) are considered inside O&amp;M_fix)
Cost el. = 0.1899 €/kWh</t>
      </text>
    </comment>
    <comment ref="W41" authorId="446" shapeId="0" xr:uid="{5B2BD541-9CC4-4540-9F83-2EB7FEFC314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41" authorId="447" shapeId="0" xr:uid="{6A450659-3930-4868-84C2-280964918A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k€/(MW_LHV-H2*y)
This is the sum of all O&amp;M costs expect replacements.
</t>
      </text>
    </comment>
    <comment ref="Y41" authorId="448" shapeId="0" xr:uid="{851FD7E8-CF84-4ECA-B171-355C4846DA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41" authorId="449" shapeId="0" xr:uid="{E9FDE342-05B4-4BE8-935D-1E44C057916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41" authorId="450" shapeId="0" xr:uid="{F9C82C65-DF4B-48F7-893A-E11B581FA1B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41" authorId="451" shapeId="0" xr:uid="{52D34497-3D09-42C0-98E5-F760F865D7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41" authorId="452" shapeId="0" xr:uid="{2D031943-4905-409E-A307-BAF0684148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C42" authorId="453" shapeId="0" xr:uid="{3FCE6FFD-18FC-49A6-BB08-07AE403850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kW_LHV-H2
</t>
      </text>
    </comment>
    <comment ref="P42" authorId="454" shapeId="0" xr:uid="{35029680-0485-4F3B-BE6B-554D3F81358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$/kW_LHV-H2</t>
      </text>
    </comment>
    <comment ref="Q42" authorId="455" shapeId="0" xr:uid="{21106ADE-56C6-4D74-A17B-EF2795DA554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$/kW_el</t>
      </text>
    </comment>
    <comment ref="V42" authorId="456" shapeId="0" xr:uid="{E4513309-39B8-42B9-AD3F-BA84C92E4EE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k€/MWh_LHV-H2
(only electricity costs, as all the other O&amp;M costs (except replacements) are considered inside O&amp;M_fix)
Cost el. = 0.1899 €/kWh</t>
      </text>
    </comment>
    <comment ref="W42" authorId="457" shapeId="0" xr:uid="{B9D8DA99-EE1E-4724-97FB-223C49FCF0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2" authorId="458" shapeId="0" xr:uid="{B671DDEA-BAAE-4E9A-8006-4B36D44DB5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k€/(MW_LHV-H2*y)
This is the sum of all O&amp;M costs expect replacements.
</t>
      </text>
    </comment>
    <comment ref="Y42" authorId="459" shapeId="0" xr:uid="{9599D740-3D37-44D2-973A-4C0CC71C93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42" authorId="460" shapeId="0" xr:uid="{E1C3E25F-C978-4949-A3D8-28C847AA4AB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42" authorId="461" shapeId="0" xr:uid="{66A9613D-76C8-487E-8D8D-67998DE41A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42" authorId="462" shapeId="0" xr:uid="{43A29653-C4CA-4A1C-AD77-BC7DE96E69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42" authorId="463" shapeId="0" xr:uid="{0FD9B261-0340-4C9F-850C-AA8EC03509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43" authorId="464" shapeId="0" xr:uid="{1C8EA7D9-A7F4-46DA-A0D5-1092EC7B0C3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kW_LHV-Wood_Chips</t>
      </text>
    </comment>
    <comment ref="P43" authorId="465" shapeId="0" xr:uid="{466E61A9-6A76-413D-A2EC-2A1E8FDF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43" authorId="466" shapeId="0" xr:uid="{6B6DB1A3-38DF-4175-B400-DD732F5C025E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(€/kW_LHV-WoodChips), 
x = size (kW_LHV-WoodChips)</t>
      </text>
    </comment>
    <comment ref="V43" authorId="467" shapeId="0" xr:uid="{45302AE5-873E-4625-B3AF-60D5663A291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k€/MWh_th
(only fuel costs, as all the other O&amp;M costs (except replacements) are considered inside O&amp;M_fix)
Price of Wood Chips: 33.8 €/MWh
Efficiency of Wood CHip boiler 95 % 
-&gt; 0.0338 k€/MWh / 0.95 = 0.0356€/MWh
(variable cost = fuel cost only)</t>
      </text>
    </comment>
    <comment ref="W43" authorId="468" shapeId="0" xr:uid="{F5A4EEEC-2817-4036-9125-204EE6647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3" authorId="469" shapeId="0" xr:uid="{4627E9C9-AC5C-4632-BB23-E6F5DE2CB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43" authorId="470" shapeId="0" xr:uid="{99870C08-EC0C-40AC-8E26-FB34C8AA05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43" authorId="471" shapeId="0" xr:uid="{F7E57316-558B-414D-9574-5820EE6712E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k€/MWh_LHV-WoodChips
(only fuel costs, as all the other O&amp;M costs (except replacements) are considered inside O&amp;M_fix)</t>
      </text>
    </comment>
    <comment ref="AA43" authorId="472" shapeId="0" xr:uid="{660AAD7B-C7F9-4F94-B5AF-A0048EF18B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43" authorId="473" shapeId="0" xr:uid="{964E7E24-D6AC-4867-A5F6-649813DAFE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k€/(MW_LHV-WoodChips*y)
This is the sum of all O&amp;M costs expect replacements.
</t>
      </text>
    </comment>
    <comment ref="AC43" authorId="474" shapeId="0" xr:uid="{135A7B32-F1F5-4174-9436-3D02C8247B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44" authorId="475" shapeId="0" xr:uid="{BDCC9290-994D-4D23-A58A-33C13E09107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kW_LHV-Wood_Chips</t>
      </text>
    </comment>
    <comment ref="P44" authorId="476" shapeId="0" xr:uid="{7F6EAD50-2935-4037-BC66-706C8BEEEC6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44" authorId="477" shapeId="0" xr:uid="{217CACE7-238A-4998-8204-687C195C9E67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(€/kW_LHV-WoodChips), 
x = size (kW_LHV-WoodChips)</t>
      </text>
    </comment>
    <comment ref="V44" authorId="478" shapeId="0" xr:uid="{1E1960BE-AF93-4085-A49D-7101012A271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k€/MWh_th
(only fuel costs, as all the other O&amp;M costs (except replacements) are considered inside O&amp;M_fix)
Price of Wood Chips: 33.8 €/MWh
Efficiency of Wood CHip boiler 95 % 
-&gt; 0.0338 k€/MWh / 0.95 = 0.0356€/MWh
(variable cost = fuel cost only)</t>
      </text>
    </comment>
    <comment ref="W44" authorId="479" shapeId="0" xr:uid="{462A4181-F790-4A61-976C-1764E276B0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4" authorId="480" shapeId="0" xr:uid="{10E72699-926B-49F3-9F5A-3DCB3C21D1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44" authorId="481" shapeId="0" xr:uid="{5CAB4864-EF4E-4A08-B4FE-B387AACCAB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44" authorId="482" shapeId="0" xr:uid="{6EEED253-AFD0-4F93-B21E-0FAF2705314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k€/MWh_LHV-WoodChips
(only fuel costs, as all the other O&amp;M costs (except replacements) are considered inside O&amp;M_fix)</t>
      </text>
    </comment>
    <comment ref="AA44" authorId="483" shapeId="0" xr:uid="{24ACC898-95D2-4594-8286-1283E1B3E3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44" authorId="484" shapeId="0" xr:uid="{B5FA882F-F895-4748-B193-D1F7E839EA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k€/(MW_LHV-WoodChips*y)
This is the sum of all O&amp;M costs expect replacements.
</t>
      </text>
    </comment>
    <comment ref="AC44" authorId="485" shapeId="0" xr:uid="{3477D341-2B59-4939-850E-3FF90F8CCD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C45" authorId="486" shapeId="0" xr:uid="{23FC7C1A-9088-478A-B338-1102D20A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Max. size can be much higher, but at that point wood chips is much more convenient, or other non-biomass solutions.</t>
      </text>
    </comment>
    <comment ref="D45" authorId="487" shapeId="0" xr:uid="{039AD9CB-CD89-4FB9-91CB-21F83EE9768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kW_LHV-Pellet</t>
      </text>
    </comment>
    <comment ref="P45" authorId="488" shapeId="0" xr:uid="{CF99DE33-A3AE-435C-961B-F70EAFB5E7C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45" authorId="489" shapeId="0" xr:uid="{4F9E3FCA-9217-4A72-A314-350B7E60CFC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(€/kW_LHV-Pellet), 
x = size (kW_LHV-Pellet)</t>
      </text>
    </comment>
    <comment ref="V45" authorId="490" shapeId="0" xr:uid="{6E97CDA4-281E-4910-AC9F-6862730D6AB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k€/MWh_th
(only fuel costs, as all the other O&amp;M costs (except replacements) are considered inside O&amp;M_fix)
Price of Pellet: 56.4 €/MWh
Efficiency of Wood CHip boiler 95 % 
-&gt; 0.0564 k€/MWh / 0.95 = 0.0594€/MWh
(variable cost = fuel cost only)</t>
      </text>
    </comment>
    <comment ref="W45" authorId="491" shapeId="0" xr:uid="{F251539D-3DD1-4FB6-9A2D-DD9341130B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5" authorId="492" shapeId="0" xr:uid="{51B723B5-D9AE-4D58-80C7-DE0E2621F9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k€/(MW_th*y)
This is the sum of all O&amp;M costs expect replacements.
</t>
      </text>
    </comment>
    <comment ref="Y45" authorId="493" shapeId="0" xr:uid="{D5A3E427-4F96-414F-9C5B-1490025855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Z45" authorId="494" shapeId="0" xr:uid="{E5E30269-704D-4A66-8C4E-450190AE481E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k€/MWh_LHV-Pellet
(only fuel costs, as all the other O&amp;M costs (except replacements) are considered inside O&amp;M_fix)</t>
      </text>
    </comment>
    <comment ref="AA45" authorId="495" shapeId="0" xr:uid="{D77AFB53-5C32-4E53-83FA-9378DD768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45" authorId="496" shapeId="0" xr:uid="{CE527D06-4CBA-4538-9D41-333080FA8A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k€/(MW_LHV-Pellet*y)
This is the sum of all O&amp;M costs expect replacements.
</t>
      </text>
    </comment>
    <comment ref="AC45" authorId="497" shapeId="0" xr:uid="{9176186A-5FE1-4946-8527-D864B004B8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
(How Start up Cost was calc)
</t>
      </text>
    </comment>
    <comment ref="D46" authorId="498" shapeId="0" xr:uid="{32FD843E-6232-42FC-9235-28ED8E00F52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kW_LHV-biomass</t>
      </text>
    </comment>
    <comment ref="P46" authorId="499" shapeId="0" xr:uid="{1E17D209-70F6-42E3-B8D7-37625322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46" authorId="500" shapeId="0" xr:uid="{1595C250-2DAB-4F67-8058-87F666F14131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(€/MW_LHV-biomass), 
x = size (MW_LHV-biomass)</t>
      </text>
    </comment>
    <comment ref="V46" authorId="501" shapeId="0" xr:uid="{7EBDFDA3-EEF2-40C4-A62D-1EFE0421D512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to feed considered as waste</t>
      </text>
    </comment>
    <comment ref="W46" authorId="502" shapeId="0" xr:uid="{C827F0CD-3EB3-458F-AB74-56E8160ABC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6" authorId="503" shapeId="0" xr:uid="{0A783631-182F-4EF7-A43B-CDC411B702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Y46" authorId="504" shapeId="0" xr:uid="{37320ACD-F91A-4B39-B0F3-E96AA1D946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Z46" authorId="505" shapeId="0" xr:uid="{2908E221-B32A-4C91-9878-25C93018E285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to feed considered as waste</t>
      </text>
    </comment>
    <comment ref="AA46" authorId="506" shapeId="0" xr:uid="{693B194C-5C7E-4EEB-8F53-02BDA529D7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46" authorId="507" shapeId="0" xr:uid="{72FCA026-A760-4197-A0A9-374561C78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46" authorId="508" shapeId="0" xr:uid="{3108049A-CF4C-43C6-B934-12BA17AE4A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D47" authorId="509" shapeId="0" xr:uid="{E107B611-CD46-401C-9091-58902A4BEE2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kW_LHV-biomass</t>
      </text>
    </comment>
    <comment ref="P47" authorId="510" shapeId="0" xr:uid="{8760D358-FF53-4DC7-ADA0-AB07F72AA862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Q47" authorId="511" shapeId="0" xr:uid="{8DE3D26E-5853-4975-94A0-87C94420A80A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(€/MW_LHV-biomass), 
x = size (MW_LHV-biomass)</t>
      </text>
    </comment>
    <comment ref="V47" authorId="512" shapeId="0" xr:uid="{100ECED4-D4A9-454C-B42C-9030B0DBAAAB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to feed considered as waste</t>
      </text>
    </comment>
    <comment ref="W47" authorId="513" shapeId="0" xr:uid="{0CC683C4-71DF-4564-99A9-A400EFC5E3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7" authorId="514" shapeId="0" xr:uid="{5468051B-3077-45DA-B93B-4CE452F84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Y47" authorId="515" shapeId="0" xr:uid="{32AB0B93-4170-4338-B026-9F33AB6FDF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Z47" authorId="516" shapeId="0" xr:uid="{14B76592-3108-46D0-95A3-0EE2F854965B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to feed considered as waste</t>
      </text>
    </comment>
    <comment ref="AA47" authorId="517" shapeId="0" xr:uid="{DDB043DC-7E8F-4106-A1F5-6DC97C09A6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47" authorId="518" shapeId="0" xr:uid="{D0640180-C62A-47E5-A988-E28C7B5EB3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k€/(MW_el*y)
This is the sum of all O&amp;M costs expect replacements.
</t>
      </text>
    </comment>
    <comment ref="AC47" authorId="519" shapeId="0" xr:uid="{4B02C9DA-3DAD-4CC1-B241-C5E212ABF5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C48" authorId="520" shapeId="0" xr:uid="{CB1E0363-A08E-44C3-8202-8EBDD274135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kW_th-cooling</t>
      </text>
    </comment>
    <comment ref="D48" authorId="521" shapeId="0" xr:uid="{509CEE46-E675-4D3E-A607-A5C3A4BA936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 (input)</t>
      </text>
    </comment>
    <comment ref="P48" authorId="522" shapeId="0" xr:uid="{BA33F460-77C7-4DDF-A97A-7E362594A84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$/kW_th-cooling</t>
      </text>
    </comment>
    <comment ref="Q48" authorId="523" shapeId="0" xr:uid="{040DB34B-F648-4352-9973-2F7E75BD282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$/kW_th_input</t>
      </text>
    </comment>
    <comment ref="V48" authorId="524" shapeId="0" xr:uid="{E2EF365D-F512-46F8-85F3-1D553A799E83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heat considered as waste</t>
      </text>
    </comment>
    <comment ref="W48" authorId="525" shapeId="0" xr:uid="{95B1A9D8-2F5A-4D04-96F2-6F42BF8A4C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8" authorId="526" shapeId="0" xr:uid="{ADB4B9BC-3825-4AC5-AD2C-AF747C4B40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k€/(MW_th_cooling*y)
This is the sum of all O&amp;M costs expect replacements.
</t>
      </text>
    </comment>
    <comment ref="Y48" authorId="527" shapeId="0" xr:uid="{F473F683-46F4-404C-9BA9-B93217A299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Z48" authorId="528" shapeId="0" xr:uid="{08B68112-5CF4-4406-AA73-CF005FEE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heat considered as waste</t>
      </text>
    </comment>
    <comment ref="AA48" authorId="529" shapeId="0" xr:uid="{5427C40B-A6B1-4E54-ABAB-7015D0DBF5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48" authorId="530" shapeId="0" xr:uid="{2CCBD7AA-47E3-4BE9-9825-C509733650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k€/(MW_th_input*y)
This is the sum of all O&amp;M costs expect replacements.
</t>
      </text>
    </comment>
    <comment ref="AC48" authorId="531" shapeId="0" xr:uid="{71EAB46A-4323-4EAC-AC76-CFC69FC8DB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AE48" authorId="532" shapeId="0" xr:uid="{4CA88D69-B9C8-421A-AE53-A6A8D9C35F38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C49" authorId="533" shapeId="0" xr:uid="{580206CF-54EF-4EEE-860B-671F2C81AF8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kW_th-cooling</t>
      </text>
    </comment>
    <comment ref="D49" authorId="534" shapeId="0" xr:uid="{42418126-EFEC-4B6C-A479-6045E1D57EB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 (input)</t>
      </text>
    </comment>
    <comment ref="P49" authorId="535" shapeId="0" xr:uid="{7AF61574-B490-4992-8321-F9DE0C2E2D17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Q49" authorId="536" shapeId="0" xr:uid="{C7038EAE-6F4C-4FE0-AB3E-FA6961E14DA6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V49" authorId="537" shapeId="0" xr:uid="{3B0A9D65-B309-49BD-99BD-AC90E0741957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heat considered as waste</t>
      </text>
    </comment>
    <comment ref="W49" authorId="538" shapeId="0" xr:uid="{7BC9DA7B-218F-45FA-8331-69C9532232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X49" authorId="539" shapeId="0" xr:uid="{9A4F04F6-5738-4EB5-A686-0A231359CF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k€/(MW_th_cooling*y)
This is the sum of all O&amp;M costs expect replacements.
</t>
      </text>
    </comment>
    <comment ref="Y49" authorId="540" shapeId="0" xr:uid="{C047F932-2CE6-4FDC-80E9-72CDC0CA3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Z49" authorId="541" shapeId="0" xr:uid="{8FD03F83-3320-4D47-B964-2522998FAF61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heat considered as waste</t>
      </text>
    </comment>
    <comment ref="AA49" authorId="542" shapeId="0" xr:uid="{51AD4D24-31DE-4990-A806-8E5594C636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
</t>
      </text>
    </comment>
    <comment ref="AB49" authorId="543" shapeId="0" xr:uid="{280CE71B-6BD2-4900-858B-EFAC614133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k€/(MW_th_input*y)
This is the sum of all O&amp;M costs expect replacements.
</t>
      </text>
    </comment>
    <comment ref="AC49" authorId="544" shapeId="0" xr:uid="{2567C9CF-6EC3-4E67-A42A-7FC615BE61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AE49" authorId="545" shapeId="0" xr:uid="{E8662945-6178-45B2-B4F1-782C2887A1D0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C50" authorId="546" shapeId="0" xr:uid="{F3BDB8D9-0836-44B9-A64A-AA6D00FCF92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kW_th_cooling
Over 2 MW_th water solution is advised!</t>
      </text>
    </comment>
    <comment ref="D50" authorId="547" shapeId="0" xr:uid="{6E897B85-9D0E-471C-A510-55ED8ED2E2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P50" authorId="548" shapeId="0" xr:uid="{E689A177-F138-4612-BEB0-E4D42EF74C2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Q50" authorId="549" shapeId="0" xr:uid="{BE14FE0B-84A0-4AA2-B619-C7759F307EF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€/kW_el</t>
      </text>
    </comment>
    <comment ref="V50" authorId="550" shapeId="0" xr:uid="{6E258FD8-F750-443B-8797-FB20B514C7E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k€/MWh_th
(only fuel costs, as all the other O&amp;M costs (except replacements) are considered inside O&amp;M_fix)
EU industrial electricity price (€0.1899 / kWh) 
= Electricity price ($or€ per kWh​) / COP
(air, COP = 3.3)
(water, COP = 5)</t>
      </text>
    </comment>
    <comment ref="W50" authorId="551" shapeId="0" xr:uid="{EA31F0B0-95F9-4A9D-BD1A-72B472D24F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0" authorId="552" shapeId="0" xr:uid="{7A7A7224-588C-46A5-8EA0-C00B9BCD4DB6}">
      <text>
        <t>[Threaded comment]
Your version of Excel allows you to read this threaded comment; however, any edits to it will get removed if the file is opened in a newer version of Excel. Learn more: https://go.microsoft.com/fwlink/?linkid=870924
Comment:
    [202]  the OPEX_fix are 3% Capex 
Udm: k€/MW_th*y
This is the sum of all O&amp;M costs expect replacements.</t>
      </text>
    </comment>
    <comment ref="Y50" authorId="553" shapeId="0" xr:uid="{C8621012-4498-49CE-802E-5665616A80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Z50" authorId="554" shapeId="0" xr:uid="{441F3988-C473-423D-9C05-899286510DA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(only electricity costs, as all the other O&amp;M costs (except replacements) are considered inside O&amp;M_fix)</t>
      </text>
    </comment>
    <comment ref="AA50" authorId="555" shapeId="0" xr:uid="{F8119C41-36F5-4BE3-B876-81D7617CB3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AB50" authorId="556" shapeId="0" xr:uid="{6702C07E-1883-449B-8491-C1670F7054B6}">
      <text>
        <t>[Threaded comment]
Your version of Excel allows you to read this threaded comment; however, any edits to it will get removed if the file is opened in a newer version of Excel. Learn more: https://go.microsoft.com/fwlink/?linkid=870924
Comment:
    [202]  the OPEX_fix are 3% Capex 
Udm: k€/MW_el*y</t>
      </text>
    </comment>
    <comment ref="AC50" authorId="557" shapeId="0" xr:uid="{476C9844-7BEA-4C7C-A79D-5FEE2ADAB7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AE50" authorId="558" shapeId="0" xr:uid="{A1F85097-63FE-4669-8E46-2F1CABB4E71B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P51" authorId="559" shapeId="0" xr:uid="{2D2D5251-9DDA-4762-91A0-5804E07E22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 = CAPEX specific (€/kW_el_DC), 
x = size (kW_el_DC)
</t>
      </text>
    </comment>
    <comment ref="V51" authorId="560" shapeId="0" xr:uid="{8CC7EE1C-C331-4208-976B-702D10D52AC0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51" authorId="561" shapeId="0" xr:uid="{FBE5DB74-419A-4A8C-BEC3-FA005DDEB0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1" authorId="562" shapeId="0" xr:uid="{333E5C13-D8B0-4530-B758-62DA3B82AB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k€/MW_el_DC*y
This is the sum of all O&amp;M costs expect replacements.
</t>
      </text>
    </comment>
    <comment ref="C52" authorId="563" shapeId="0" xr:uid="{86F31E6F-04AA-46FD-8894-E8A7BD1957E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P52" authorId="564" shapeId="0" xr:uid="{F45FF249-2AD9-4A72-88F1-92372EE3C1B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€/kW_el</t>
      </text>
    </comment>
    <comment ref="Q52" authorId="565" shapeId="0" xr:uid="{12664D7D-02AF-44B1-8834-8F5FB132896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</t>
      </text>
    </comment>
    <comment ref="V52" authorId="566" shapeId="0" xr:uid="{C7F0F13B-E3FB-4120-94BD-15075298047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52" authorId="567" shapeId="0" xr:uid="{76B4D2E4-3A4F-4DDE-ADFC-DEFCC0AA4F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2" authorId="568" shapeId="0" xr:uid="{D695400A-592B-4C34-8373-FA330F741D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k€/MW_el*y
This is the sum of all O&amp;M costs expect replacements.
</t>
      </text>
    </comment>
    <comment ref="P53" authorId="569" shapeId="0" xr:uid="{38496C19-BF50-4A54-8D01-977F7852EDF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53" authorId="570" shapeId="0" xr:uid="{F0A88981-CB2A-4F96-B5CF-9538910B577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53" authorId="571" shapeId="0" xr:uid="{3A4AFF6B-D633-4A33-8366-9623C5321A6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3" authorId="572" shapeId="0" xr:uid="{8B04DCAD-4817-454C-B43E-1874DA7489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k€/MW_el*y
This is the sum of all O&amp;M costs expect replacements.
</t>
      </text>
    </comment>
    <comment ref="P54" authorId="573" shapeId="0" xr:uid="{B03810E3-55D5-46C0-A197-74EE6683E063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54" authorId="574" shapeId="0" xr:uid="{B5C47B1D-7867-44E1-8D28-1C046442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54" authorId="575" shapeId="0" xr:uid="{D9016EDE-4742-4B1B-9F1B-4E304D56EB5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4" authorId="576" shapeId="0" xr:uid="{FA835A8B-4B8D-4A1D-81A5-0460A25BFD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k€/MW_el*y
This is the sum of all O&amp;M costs expect replacements.
</t>
      </text>
    </comment>
    <comment ref="M55" authorId="577" shapeId="0" xr:uid="{7B758776-8FBE-45BD-806E-5F38057E14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N55" authorId="578" shapeId="0" xr:uid="{B757E6A7-E7AB-43D9-B8A9-AB3392688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P55" authorId="579" shapeId="0" xr:uid="{4DB066D4-CD7D-4232-8E8A-6A71776F2681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V55" authorId="580" shapeId="0" xr:uid="{5648DCB8-A633-40F1-B150-E398F9D0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55" authorId="581" shapeId="0" xr:uid="{33840732-2884-4933-B28A-AA6D7C3574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5" authorId="582" shapeId="0" xr:uid="{9B6FAE54-5ADE-4062-A083-D248F6ACB5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k€/MW_th*y
This is the sum of all O&amp;M costs expect replacements.
</t>
      </text>
    </comment>
    <comment ref="M56" authorId="583" shapeId="0" xr:uid="{2EAFD766-CAF3-468D-B1F8-255E69BC40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N56" authorId="584" shapeId="0" xr:uid="{C92559FD-9DF7-4E3E-8C7E-4AA9F0F7F9F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P56" authorId="585" shapeId="0" xr:uid="{630CFAB3-24C4-4B3C-BCB2-D2F1830DC880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(€/kW_th), 
x = size (kW_th)</t>
      </text>
    </comment>
    <comment ref="V56" authorId="586" shapeId="0" xr:uid="{2EC56731-7331-4DCC-AAF0-12E3CA2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56" authorId="587" shapeId="0" xr:uid="{B29B369D-4A75-4078-A4F6-45AC51E43CD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6" authorId="588" shapeId="0" xr:uid="{A0827BE4-FF76-4ACB-AC0B-B2EEF7F061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k€/MW_th*y
This is the sum of all O&amp;M costs expect replacements.
</t>
      </text>
    </comment>
    <comment ref="M57" authorId="589" shapeId="0" xr:uid="{9EE61704-CC3A-490C-A2D3-CF35CCFEB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N57" authorId="590" shapeId="0" xr:uid="{81A1DD26-060A-4D7E-8D88-2B79BA2F1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P57" authorId="591" shapeId="0" xr:uid="{F6D8E1C6-FBF1-45C4-A7D6-77118AB9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€/kW_el</t>
      </text>
    </comment>
    <comment ref="V57" authorId="592" shapeId="0" xr:uid="{F7BD60DF-6461-4A0A-AADB-7CC6D2802DB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57" authorId="593" shapeId="0" xr:uid="{A219B206-EF42-4678-BEDD-C46C80BBD9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7" authorId="594" shapeId="0" xr:uid="{9DFFFB6E-38F6-41EB-92F3-C8C8835AA8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k€/MW_el*y
This is the sum of all O&amp;M costs expect replacements.
</t>
      </text>
    </comment>
    <comment ref="P59" authorId="595" shapeId="0" xr:uid="{EA3537DB-F11C-420F-84A7-41843BFD33FE}">
      <text>
        <t>[Threaded comment]
Your version of Excel allows you to read this threaded comment; however, any edits to it will get removed if the file is opened in a newer version of Excel. Learn more: https://go.microsoft.com/fwlink/?linkid=870924
Comment:
    y = CAPEX specific (€/kW_el), 
x = size (kW_el)</t>
      </text>
    </comment>
    <comment ref="V59" authorId="596" shapeId="0" xr:uid="{A7628267-A965-4B06-A84A-A627EE8914E8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
-&gt; total 0.004631 €/kWh (o             k€/MWh)</t>
      </text>
    </comment>
    <comment ref="W59" authorId="597" shapeId="0" xr:uid="{DC9F53ED-3AD0-44EF-9584-BB404541E5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59" authorId="598" shapeId="0" xr:uid="{16D89E3C-3FFF-44CC-899F-464AB17140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k€/MW_el*y
This is the sum of all O&amp;M costs expect replacements.
</t>
      </text>
    </comment>
    <comment ref="V60" authorId="599" shapeId="0" xr:uid="{42AE3AB4-525F-4BA8-BB1B-14770D8E3F4E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60" authorId="600" shapeId="0" xr:uid="{64819754-8D64-4134-9CC7-75FBDA5580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60" authorId="601" shapeId="0" xr:uid="{012E00CC-FDFB-426A-9054-A234CF0818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k€/MWh
This is the sum of all O&amp;M costs expect replacements.
</t>
      </text>
    </comment>
    <comment ref="V61" authorId="602" shapeId="0" xr:uid="{80ABBF39-2FF3-42DC-A916-D3ECF3EFC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61" authorId="603" shapeId="0" xr:uid="{7D623A98-4FE6-4F1D-9E09-046882F1B3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61" authorId="604" shapeId="0" xr:uid="{7C12A1DC-BC7C-47E1-95E7-47DF308199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€/kg
This is the sum of all O&amp;M costs expect replacements.
</t>
      </text>
    </comment>
    <comment ref="V62" authorId="605" shapeId="0" xr:uid="{0F4F81DC-AF20-4858-B515-725A1FBE1D95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fuel costs are considered, as all the other O&amp;M costs (except replacements) are considered inside O&amp;M_fix.</t>
      </text>
    </comment>
    <comment ref="W62" authorId="606" shapeId="0" xr:uid="{6B0BAE31-2919-4778-8467-C8CA2323C33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
(How O&amp;M + Replacement was calc)</t>
      </text>
    </comment>
    <comment ref="X62" authorId="607" shapeId="0" xr:uid="{8E5944BB-5040-4073-B5B3-78EC35F57B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€/kg
This is the sum of all O&amp;M costs expect replacements.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tc={3D6D7BA9-3C75-4F0D-A762-19E897657D32}</author>
    <author>tc={12EEBB76-C6A3-42D2-931A-45D2F827B551}</author>
    <author>tc={AF19BBC9-B0E9-4CE0-A0A6-E51953CDC968}</author>
    <author>tc={21C6B519-8CD7-4B25-BE3F-2994B871AE85}</author>
    <author>tc={E5705A2E-ED73-46B4-8602-E7D798BB8C71}</author>
    <author>tc={24DDFADE-7214-46BC-97AA-509A74954474}</author>
    <author>tc={3E1C4C65-33A4-4C89-BA0A-2DDD3F966D3D}</author>
    <author>tc={653CF647-1C2D-4A36-96D3-B8B2091BB85A}</author>
    <author>tc={BC77F2B9-AD18-4256-B6E3-5002E79CACF9}</author>
    <author>tc={14DC598C-DB07-4335-A179-A1BA20AB12C9}</author>
    <author>tc={5C500CC8-B19D-42C9-B14E-A32F46400E5A}</author>
    <author>tc={97914F8C-5371-4E40-8D53-EC82D337AD09}</author>
    <author>tc={9EEE16D7-8807-4BCC-A906-BEB3368A254F}</author>
    <author>tc={901CB679-13D1-4090-8217-A1B6452D1E96}</author>
    <author>tc={784D650C-5A82-4617-AA0F-E764D814CDF9}</author>
    <author>tc={5D9041B4-739D-41F7-899E-F52B76DFC46F}</author>
    <author>tc={4BFBC945-A5F1-4025-9ABD-7C04D45D8085}</author>
    <author>tc={D6EB369A-E263-400E-A4A6-587B104BBBDF}</author>
    <author>tc={7A14CA92-A1CE-4B1B-8D6C-61CD5E011D89}</author>
    <author>tc={608C2F48-6205-488C-AA1E-C52CDB46DCC7}</author>
    <author>tc={D3C81FE0-11B7-44B1-A036-8EF202434129}</author>
    <author>tc={2176DFBE-D021-4E87-92D2-84AD7DC2E7B4}</author>
    <author>tc={4E95BC14-B42C-4F78-AFA3-1DA7DDF096F0}</author>
    <author>tc={34A55A23-97A2-489F-BBD9-553AE3F9BAD8}</author>
    <author>tc={F82C814B-A150-4F87-A44A-C5A6C4385861}</author>
    <author>tc={7A04F593-0CF1-40A1-9E1A-012163CBCEE8}</author>
    <author>tc={666262D3-D8C8-44A1-BCD3-93452EBC67C9}</author>
    <author>tc={4FF5B2A1-D2A0-49C2-9A8D-A7EA70975211}</author>
    <author>tc={1F37897C-E844-442D-823D-F830FBF3F37B}</author>
    <author>tc={6E018883-6F18-402A-A6BD-3A403F2E8E6D}</author>
    <author>tc={FDBAD4C1-F5CA-412D-8EA7-F54C4A017EF0}</author>
    <author>tc={F9BB01B6-FF76-4177-A8C4-DA245425FC9C}</author>
    <author>tc={FE4C73A4-E60B-4F23-B0DB-F105A7218524}</author>
    <author>tc={81832D93-E541-4A4D-8B96-9B5E5A257F2F}</author>
    <author>tc={53BA96BB-676C-4B44-8A71-09C29C221D2C}</author>
    <author>tc={116D341F-9400-4721-9635-C0AD014AD0DB}</author>
    <author>tc={1811D919-BA3E-4366-8B48-DF6158C46BDC}</author>
    <author>tc={C442DAD3-CFF0-4BC5-B6EA-6D626AB804AF}</author>
    <author>tc={7D39C6DA-BDEA-4190-A798-BC46FEEEA6A9}</author>
    <author>tc={37AF9379-31F0-4925-B5E8-3C4152516D73}</author>
    <author>tc={85EAA9A2-3945-40FF-9CCF-9C122AB462A6}</author>
    <author>tc={4DD9FE54-2E92-47BC-8FDD-E3DF1E0A8E69}</author>
    <author>tc={BB0BA6B8-BE50-4125-84EC-7151DFEDC91E}</author>
    <author>tc={B4E6F59F-A580-4604-B764-4886D97F283C}</author>
    <author>tc={FF433014-D097-4971-9F12-33C10F065DDC}</author>
    <author>tc={31D50866-08BD-4C6A-B9A0-AFFDE56CC97C}</author>
    <author>tc={48EBB30C-FF86-42E3-8D3A-B84D57D95F5B}</author>
    <author>tc={4EA0572F-D701-45B9-8ED1-77C14F72B3CD}</author>
    <author>tc={A76C801E-2470-4661-AC8C-31292801DDE4}</author>
    <author>tc={926821CD-35DF-4914-9FC0-2BE9CF7E38D1}</author>
    <author>tc={753927EC-D72B-4340-B7EE-4C4962C247F1}</author>
    <author>tc={BA4FB2BB-D8C2-42DC-9CD2-DE54483C2571}</author>
    <author>tc={4CFF993A-D846-4C38-9836-3E148E676A5D}</author>
    <author>tc={1AAA60CB-A5C4-464A-85D4-609B706488C7}</author>
    <author>tc={EE75A8A6-CD26-4F1C-BB4C-1676C82875A9}</author>
    <author>tc={D27E7082-F346-445F-9ACA-45C6013C44DA}</author>
    <author>tc={B80810E1-D7F9-4BD2-A34C-E7F5A4DBAC19}</author>
    <author>tc={845A7106-D623-49C0-9944-A0BE70E31206}</author>
    <author>tc={1A9BAEEF-A6E7-46E9-964E-9180989A538F}</author>
    <author>tc={FC9F1DC4-17EC-46CC-AABF-C302720A4114}</author>
    <author>tc={2B7801A6-FF8D-4F04-87C1-071DDB8BFD46}</author>
    <author>tc={C03FB6A4-79AE-4B05-9CDE-6625D357BB95}</author>
    <author>tc={C45A262B-2246-4393-BDE2-BDC5B530B388}</author>
    <author>tc={6CCBF328-FA08-4B4C-A9FB-8DFCFBB3D83D}</author>
    <author>tc={8399B7D6-EC33-49D2-A6EE-8F086AF09977}</author>
    <author>tc={8590B23F-8FC5-4F3D-8C3E-A90FB6E1DB88}</author>
    <author>tc={699F6457-7CBB-4A72-A0D0-9E1EE53F79EC}</author>
    <author>tc={3E19F538-391B-43FE-9788-EF5C1DF610B8}</author>
    <author>tc={2AC4A3D3-25DD-453E-91EA-9EDD8F6932C6}</author>
    <author>tc={46089513-E6DC-420A-8A33-7F61D5DF3C9D}</author>
    <author>tc={EFD430E3-791E-476D-B2BE-0D85F18BD769}</author>
    <author>tc={69C46BCB-039A-43B8-BEAE-308337720BEF}</author>
    <author>tc={45D285E0-4140-4103-8A08-1B1DC2423A07}</author>
    <author>tc={034B1AF4-CB0E-48A7-835C-0D83723CBEEA}</author>
    <author>tc={8DB415DD-8C78-41F3-87E8-AB443B2F78A7}</author>
    <author>tc={EDA0529E-7F73-41D7-8B24-83B3207F98C9}</author>
    <author>tc={37145580-212F-4CBE-A599-A8F4BD5F3E11}</author>
    <author>tc={202E9A80-05A6-4F5B-854A-3992B8CAEEDB}</author>
    <author>tc={14EE728D-2982-4503-A13A-F2480C5FAB53}</author>
    <author>tc={024BFEA0-46F7-48A5-9024-CA092E9DF4C8}</author>
    <author>tc={29C55AB2-B80B-4E95-9276-221FA145D436}</author>
    <author>tc={F9EA31C7-8427-4759-B47A-6044661A24BA}</author>
    <author>tc={7974F667-BB16-4FD3-836E-D54BB76648FF}</author>
    <author>tc={FEDC7192-0D60-40DB-9AF0-AA20C7FB9593}</author>
    <author>tc={1D61B990-6ED0-4375-9C8F-7835A55888F0}</author>
    <author>tc={5434DCF0-0057-4C30-B81E-5935475E23B5}</author>
    <author>tc={4260110B-4DC7-4724-B6CB-C5F7BE693C4A}</author>
    <author>tc={9FE8E461-5AE5-4EBA-8E74-8DB3C82200AC}</author>
    <author>tc={36E34398-8933-4D0F-AAD9-EC9D2736514C}</author>
    <author>tc={CC0A5805-F6DA-43D1-8CEA-254FDBC6FAC5}</author>
    <author>tc={C232AACC-7566-4DBC-8A70-15CC25B38578}</author>
    <author>tc={2A7F72E6-08D4-462F-A415-BE95F5664141}</author>
    <author>tc={63837B55-EFEC-43F9-9518-97C757F02D0E}</author>
    <author>tc={EBB49CEE-D197-46F8-BB13-7E2E62BDF80B}</author>
    <author>tc={3BF49932-75F5-465A-A46B-C45C5F0F1827}</author>
    <author>tc={158170AA-0ACE-4175-B79D-DE33D58945DA}</author>
    <author>tc={3A37DB85-6D3A-4258-B153-514EBD43E2E5}</author>
    <author>tc={C1B27D58-0457-4BBB-B970-4F107FB8905A}</author>
    <author>tc={4DFB0D01-A2A8-40B8-91E7-D8AD1BA7F8CE}</author>
    <author>tc={A132E655-C99B-4293-99E7-19474D33943A}</author>
    <author>tc={B7DDC8BB-473C-4804-94CA-7ED1BAE0C559}</author>
    <author>tc={39775483-4F8B-4549-B5E1-2C4CA15983F4}</author>
    <author>tc={96375E32-7E7E-45C8-BB47-316FAE5D20FF}</author>
    <author>tc={F50FC354-75D2-4DE8-91EE-C361E8122C3C}</author>
    <author>tc={D3F5AA25-88F3-418C-A744-7501CD410EFF}</author>
    <author>tc={424EAEA2-AB4E-4AD6-87A9-02584A1A7956}</author>
    <author>tc={FBA15255-47A1-4ADC-B035-D5543FF0175A}</author>
    <author>tc={EB353867-AB75-45B0-A251-584D5E620C35}</author>
    <author>tc={E465EC87-04EA-48E9-8B91-04E1B326568D}</author>
    <author>tc={94981713-9EE6-46C1-8DA4-910D8F2E6D07}</author>
    <author>tc={608F6BE3-7D08-436B-811C-3C1EC0614732}</author>
    <author>tc={F174CDD3-03F9-4878-8BB5-9B8601FF98B8}</author>
    <author>tc={59CA68DC-3B79-4391-8BB2-E61C1783D8DF}</author>
    <author>tc={8208D1BD-D002-4E3D-83B9-3C9B92FF42EA}</author>
    <author>tc={E4B5ECD8-1A7E-4D99-8D0D-EFFFEC110F9A}</author>
    <author>tc={B276B462-5F4A-40B3-8F73-7AC93EB86994}</author>
    <author>tc={6C33FEBB-4EAD-4F8F-84F7-9E3AE7495CB7}</author>
    <author>tc={0B148349-55E5-4D76-AF24-AA12C6AE670C}</author>
    <author>tc={5ECF6FC1-6FA5-4104-8254-C03A28C0C824}</author>
    <author>tc={40CDB41C-6C38-4E03-9877-D2C9A628B49A}</author>
    <author>tc={8BC46D78-8D17-459A-B954-7F5E14442C86}</author>
    <author>tc={F2716D50-0F69-4C04-AB53-29D159ABF155}</author>
    <author>tc={0DCAA262-FF4A-4FE8-BE3C-89F5FEB0EACD}</author>
    <author>tc={101DE8A5-9C70-43E3-B35E-4EEA0998196D}</author>
    <author>tc={C0FC23ED-EEE9-421F-A852-D9F5EBCD2575}</author>
    <author>tc={9095187D-57FC-4FAF-86EF-74013E7B5EE6}</author>
    <author>tc={91430351-0052-446A-A610-8F9A7F6CD5FA}</author>
    <author>tc={7727034E-ECD2-43C7-84B8-72744C227047}</author>
    <author>tc={9A57853D-854B-4C93-AB13-AACA2F8707E0}</author>
    <author>tc={911CEF34-48BB-4DCF-85AA-925568C0E755}</author>
    <author>tc={5ACE4389-9E1F-47D8-A645-BD49F6B7A063}</author>
    <author>tc={202E2A34-D7CF-489F-B041-6B8DC4AC5A8D}</author>
    <author>tc={1E7BD1AC-F7F0-4A90-9B82-85F1052D08C0}</author>
    <author>tc={32BE87E6-585C-4632-913A-531996483795}</author>
    <author>tc={E99F47DE-6FDF-4B87-9421-55009F55A35E}</author>
    <author>tc={2BBFCD5D-A5D6-4C57-9B8B-272068A972D0}</author>
    <author>tc={6C0415FA-AA23-4AE2-B984-ECB1557274F6}</author>
    <author>tc={6BF6559E-5D05-40D0-9913-9821C440A9FA}</author>
    <author>tc={67EA0EE3-C87E-4483-81AD-E60E2129CC6D}</author>
    <author>tc={47F9AB6C-95B5-45E6-B8C0-2A55D38D87CA}</author>
    <author>tc={F46FF817-DE09-45F1-BF1E-5433E6D5BB91}</author>
    <author>tc={0A27ED5D-AF1A-44B4-82DB-A8357A7D2BA2}</author>
    <author>tc={D4779328-D731-4282-B88D-F1D23699C089}</author>
    <author>tc={ABF72B6E-BDDD-4107-85E3-B8C628C00C38}</author>
    <author>tc={2C87CE61-DF9C-4044-B71F-BAAD5275DE52}</author>
    <author>tc={D3398B9C-E631-4CF1-BC47-EE397995F205}</author>
    <author>tc={EC01629C-BFFD-41AB-A2A3-4986A084355B}</author>
    <author>tc={03D0213C-25A6-4F61-9B62-B9DAF274D77B}</author>
    <author>tc={1E73A8CB-B5BD-40EA-9BC8-2385919844E2}</author>
    <author>tc={14CE625D-E963-426C-A085-FFAFDB6120E5}</author>
    <author>tc={BB45F921-7735-475B-9294-F8C92F9E004B}</author>
    <author>tc={4744A401-9E67-4A9D-8E9F-DE4307FBF3F5}</author>
    <author>tc={B5842FA3-1C40-47BC-9BAA-3E4A4C83C7CE}</author>
    <author>tc={69FA9DAD-35FD-4EEC-BC32-EFF9F330EEC6}</author>
    <author>tc={E082F065-10E3-4646-B63F-038842062F42}</author>
    <author>tc={8A180C24-C20F-43CD-B145-B4BED1189D80}</author>
    <author>tc={BE7CB362-0E25-48DF-BFDE-4A3185EF5EED}</author>
    <author>tc={E5CFE474-BDBB-4204-ADAC-3DADC6F7613B}</author>
    <author>tc={856468AB-EB08-436B-9C6B-4B948F2D7E34}</author>
    <author>tc={C1486A43-4628-40B9-B781-B651C488DF14}</author>
    <author>tc={66FDB224-CC91-4D36-A760-4A0EF6C33959}</author>
    <author>tc={0D1E243E-4D1B-44C2-8F71-788A09525047}</author>
    <author>tc={847F5FE0-C8F2-4A49-A3FC-8C9D191EBCF6}</author>
    <author>tc={97021648-BDCC-4020-8F71-67A5285A8247}</author>
    <author>tc={BC080D1A-7FF5-4893-A7D8-36A6B79A86C1}</author>
    <author>tc={12AC1359-E51F-4D4C-A633-F2986E8CE0DE}</author>
    <author>tc={9C2FA591-D1AD-4914-B62E-42EB0DF2CE0E}</author>
    <author>tc={1D4AA305-6862-412D-8496-782778B2C15B}</author>
    <author>tc={6D1BA859-29BD-4620-9AD7-A46E3AD1F3AA}</author>
    <author>tc={A6D902D6-1A32-40C3-80DE-FFC71497906B}</author>
    <author>tc={36F6EC97-5A5E-49FD-8BA4-2A33A2394717}</author>
    <author>tc={121D5B8C-B3F9-4BE5-9B0B-3E1BC4AF2797}</author>
    <author>tc={5AEA0D73-6128-4A8F-86E4-E6C3E73EB2A5}</author>
    <author>tc={3FA08F25-E05C-4CFA-A5D0-D7DC293F475B}</author>
    <author>tc={D6EFA72D-27FB-478F-B803-3B6AFDCEC06E}</author>
    <author>tc={EF39D661-3EF5-4782-B655-311AB9BBF6D3}</author>
    <author>tc={460DB407-9338-4252-8D82-504956B50AF7}</author>
    <author>tc={E9C3360F-9E62-4A74-B6B2-F3EF33A20054}</author>
    <author>tc={F37697FA-1B83-4250-BEA4-9D98EF429960}</author>
    <author>tc={BA6069E9-6AB1-479E-846A-1C0263FE91DD}</author>
    <author>tc={B02C1074-0DDA-4BC7-862D-66F8D523F7BD}</author>
    <author>tc={0BCD06CA-78B8-47B3-A477-F7145AE1C643}</author>
    <author>tc={4D724766-097D-4C17-A5FF-0C8078CA5AFD}</author>
    <author>tc={67E094CA-732D-4A7B-B26B-9875115A16EC}</author>
    <author>tc={CBAC1019-5A6B-4ECA-B44B-E30470772909}</author>
    <author>tc={AFAC575F-2CE5-4AE4-B7C2-1BC967993A7F}</author>
    <author>tc={2A7EA667-AE15-4536-BE56-6C8CF160B266}</author>
    <author>tc={3F25AD55-F777-4F48-8484-12C220E6EC32}</author>
    <author>tc={58ED7B38-3394-46F2-8240-3CA9B7DF330E}</author>
    <author>tc={A3D3CB36-E3AB-4CF9-A8E9-07AAF7571ABB}</author>
    <author>tc={D9F48FFB-302C-4DE9-A544-2E6B5DA12E9E}</author>
    <author>tc={9EC94C7C-4E84-4780-9A8A-8577524C56D9}</author>
    <author>tc={82C540E6-3785-4739-B546-2B345C06B8FF}</author>
    <author>tc={716CE568-1304-4A8A-AB78-978E59FDF667}</author>
    <author>tc={F638D329-F217-4293-A78E-380E80681E89}</author>
    <author>tc={FF40A4DD-9C7D-4AEA-9153-0BDFD3F42AF5}</author>
    <author>tc={EBC78036-BB9F-4B81-B648-7D88DBC0E764}</author>
    <author>tc={2489A6AD-7E79-4E75-92B7-824118278460}</author>
    <author>tc={A00518E0-B2EB-40B4-9D9F-6BB7F5D03ADE}</author>
    <author>tc={80EB1A9E-1831-4F60-ADCD-7E8BD28C9DE4}</author>
    <author>tc={347EDA34-8350-4DB1-92D9-68750B3F6FE7}</author>
    <author>tc={ADBDBA1F-4A9B-42DF-BF94-3D9188723BA1}</author>
    <author>tc={350C5BF5-F122-4F9A-98B5-CE06430E0CBA}</author>
    <author>tc={B34B6BF2-CE91-448B-B0DF-FC377D888BB1}</author>
    <author>tc={E5715C6C-C69A-4BCE-AB1F-AD94E7F87162}</author>
    <author>tc={42A3968F-30F4-4A07-8F4E-657601474593}</author>
    <author>tc={F3509144-FE69-4F6D-B153-694076D586AB}</author>
    <author>tc={23C21C39-7929-4D51-A9A1-6B2863DF6793}</author>
    <author>tc={CD2A8D34-FD97-42EA-B205-BC79ED42769C}</author>
    <author>tc={272B52D1-215A-4A2A-9141-E0482A3D42BC}</author>
    <author>tc={B6DF9FFD-3937-4BC1-9154-510890688CC9}</author>
    <author>tc={4F55B212-0456-41CA-B1FF-F50107D3A707}</author>
    <author>tc={D1914C72-8AFF-4819-A899-E8998BE784A1}</author>
    <author>tc={AB202F3E-B57D-4B41-9BF5-9ECEE3E66585}</author>
    <author>tc={2B0E1532-34C3-4B78-B36C-5D4069808183}</author>
    <author>tc={684940F3-C88B-4901-8ED0-4B837D38B920}</author>
    <author>tc={095F1A4D-664B-4D8E-AAB1-267619CF5DEA}</author>
    <author>tc={DC825997-119C-454C-AB9D-3ED227E5F07C}</author>
    <author>tc={FC0AE1D3-71AB-45BC-9999-B6BA0EF2047F}</author>
    <author>tc={4D9B6774-8BCF-4742-9900-8E0CCED1DF43}</author>
    <author>tc={E3256D13-1290-4223-BC0C-EF0DFD937666}</author>
    <author>tc={2DB5CBD2-89A3-4519-B4F4-122D64C746BA}</author>
    <author>tc={C913A5B6-E796-447B-B5D8-CCC1A537978A}</author>
    <author>tc={B9251006-84F7-4E4E-B308-86D5A419B172}</author>
    <author>tc={EC3121BE-A3A3-42EA-853F-46DA742F54A6}</author>
    <author>tc={68F9A384-903C-48EF-9409-7D6A9BF43BA1}</author>
    <author>tc={1D3B968A-40D5-4695-9080-3F2DE787C0BA}</author>
    <author>tc={531DEB51-52C7-4775-972E-529749849D0E}</author>
    <author>tc={548F1001-50D5-4824-B95C-1F2026F7EBEB}</author>
    <author>tc={8B446236-DA59-4052-BD63-15D537C75305}</author>
    <author>tc={129FEF60-927C-4E86-834A-36CD2768352E}</author>
    <author>tc={5ECD8792-653F-4D55-8A9F-DFF0140B6AB2}</author>
    <author>tc={922EB8AE-6654-40F1-9CEA-3F30E0B3F148}</author>
    <author>tc={62C5568F-DEB3-4C7F-8B6A-F6B7A71EDDB1}</author>
    <author>tc={04E9D552-617F-4EA1-951C-576160E94EDE}</author>
    <author>tc={644842D7-8CCC-437E-A75A-061E91B9E75F}</author>
    <author>tc={77E400D7-D2D9-4EC4-AB93-059C1F6E0DA7}</author>
    <author>tc={A51EBFD1-D51E-4487-9C9E-F5A8D488061D}</author>
    <author>tc={4A75D2F4-14C1-44DF-BC81-40DD378AB7CF}</author>
    <author>tc={6F92F6E1-8827-45E6-ADB2-EC873CECF9AE}</author>
    <author>tc={D849146F-BBB4-4D08-9ED2-88FBAD051801}</author>
    <author>tc={45359EEC-3CC4-49EA-809C-46144158D8E1}</author>
    <author>tc={9687838B-0593-4546-8757-810397C373AF}</author>
    <author>tc={3A39C8A0-2071-4283-8E3C-23EF69C094C4}</author>
    <author>tc={77F464D8-3784-42B4-8356-73DEA608FE61}</author>
    <author>tc={8C886F79-1416-4B38-8EAF-E6297FB828B5}</author>
    <author>tc={2B11BFF2-EA93-4E78-98D2-6AAAF72A977E}</author>
    <author>tc={8ABBACEE-08CB-4464-9146-31C4D811C8AA}</author>
    <author>tc={B329F920-EB0E-4E5B-838D-2D75FA29D0A8}</author>
    <author>tc={BD6304EC-A9D8-4550-ABB3-2A4AE76E9E2B}</author>
    <author>tc={9E54E7CC-CDAF-4F5E-8597-79199E3F1FD0}</author>
    <author>tc={E240182F-3373-4FA8-8EE2-94AF4EE27CEC}</author>
    <author>tc={6B54AC01-4744-4663-901E-132D1E13A5C4}</author>
    <author>tc={C4277481-91A0-4785-B7C5-99DE67102D9D}</author>
    <author>tc={0710A027-16ED-4E23-96FE-59F8C93183BA}</author>
    <author>tc={5ACC5E15-FD73-47C2-9798-EFCCE305EDB3}</author>
    <author>tc={96B48D63-4D69-4EE8-A16F-7208CCACBA84}</author>
    <author>tc={347565B3-BEF4-4627-9F01-E59262A12908}</author>
    <author>tc={450F9D41-82EA-4705-8D08-ADD4B1657AF7}</author>
    <author>tc={E098EBEB-60EC-41B3-A418-C8F0FDFF1CE6}</author>
    <author>tc={16581453-B6B8-44D2-A2B6-3414317603FD}</author>
    <author>tc={26E80065-6A67-4683-8DE9-6FEEDB8936B8}</author>
    <author>tc={BF4F8BD8-CFFA-4FB7-9A41-F7D561784197}</author>
    <author>tc={3FD260DE-2C5D-48E6-A4D1-71DA5DC856F5}</author>
    <author>tc={0869DDBF-B0E7-4515-9E60-4DAD16B4EA05}</author>
    <author>tc={96F74672-C3B8-40E6-84FD-EFC2C3299A18}</author>
    <author>tc={42562E6E-AD6B-4805-91A4-CC615AE9D42F}</author>
    <author>tc={A000F735-2CF5-41B5-8078-B61FCBAF9A9F}</author>
    <author>tc={E6E2E3AF-0EB3-47CF-99AA-034CFBB43400}</author>
    <author>tc={3E5A9095-EC78-46F4-BD8C-A4AA1E7834F3}</author>
    <author>tc={375071E3-5FA3-488F-A27C-D31013275393}</author>
    <author>tc={D764F59C-BC6C-47FC-A116-194C83EC8468}</author>
    <author>tc={02486387-9D88-4B5A-A1E7-22EEEB5765AA}</author>
    <author>tc={C5E7D2A7-34DD-4B65-9D03-D6474B4A220D}</author>
    <author>tc={420FD961-8EE5-40AE-B4CE-63432AF47DCD}</author>
    <author>tc={3C33D95E-FACD-41D9-A9DC-6CFABEC21171}</author>
    <author>tc={B52FAC7E-9E3C-42AC-A871-2095FFF0A4F3}</author>
    <author>tc={F9FAEB3F-A47C-4A91-BFC8-356FD1F5B402}</author>
    <author>tc={D7DE3029-5CEB-4437-985F-D60329562D0A}</author>
    <author>tc={3CC83B95-80A9-4611-8A54-BBB3B5365C26}</author>
    <author>tc={60BB9C4B-C052-49D4-A679-7DEDE10EC7D7}</author>
    <author>tc={A01BBBB3-A0DF-4ABA-A207-161BE3221884}</author>
    <author>tc={B467EB3C-3F9B-4702-8923-DB072B28F3F0}</author>
    <author>tc={B35C3361-00B2-44D0-B357-3C632121CF39}</author>
    <author>tc={007F783E-D8DB-4465-A88C-645CF90AA240}</author>
    <author>tc={24CE123A-960E-4D63-90BD-A87FDBF43854}</author>
    <author>tc={DF05C47E-C32D-4B0F-9D2E-4AB56932342E}</author>
    <author>tc={36E2E6CF-2D43-4B1C-B2A9-33DF852931FB}</author>
    <author>tc={6ECBF849-B367-40C6-A29E-7C09BA2F582A}</author>
    <author>tc={982A194F-D356-41E5-B5FF-9159C07655E0}</author>
    <author>tc={5803B740-F208-4F2C-A325-58F41BCF9CCF}</author>
    <author>tc={5C2C25E6-9187-4C61-B682-58871B43A5BB}</author>
    <author>tc={9451AE48-8A01-41B7-9CF1-48975D8ACA3F}</author>
    <author>tc={4F145B24-31F6-4D18-974A-4CBB28C22FDB}</author>
    <author>tc={4CFBF61B-4365-4B16-B526-5D47F02E3B13}</author>
    <author>tc={51EEE20E-061C-4114-B41A-BE041CEA6E03}</author>
    <author>tc={600B079B-E520-49FE-A446-E4178A79392B}</author>
    <author>tc={150202C2-AFFD-4C16-9FDE-0B08DD15703E}</author>
    <author>tc={B722A08A-50CD-422E-93C0-516A990DC206}</author>
    <author>tc={6A074C49-1B78-471F-AC00-CD6D41DBD124}</author>
    <author>tc={F6424FB9-2E12-41CC-9D8C-4327C8D96FBA}</author>
    <author>tc={8F3095ED-C575-4599-959F-EE84226F70C0}</author>
    <author>tc={1BDAFB37-80B5-4232-996A-B845AE10440D}</author>
    <author>tc={F2B2C992-A743-474B-ADDF-5B54A25B7402}</author>
    <author>tc={6D81C877-AF0B-4622-8793-84BF5B8EB3D6}</author>
    <author>tc={30594B84-2268-4613-BCB1-4E5B8A88FBD1}</author>
    <author>tc={B94681D3-8D4D-4110-A014-4EB4674AF399}</author>
    <author>tc={608ADF9D-440C-46C7-AE32-61FEEB6E715C}</author>
    <author>tc={54833685-091F-4E1E-B9BA-168EBB7FB9A1}</author>
    <author>tc={40651045-615A-404B-A222-ABD37A48F216}</author>
    <author>tc={371FD09C-27A7-4BC5-BFA8-FF6EA4BCBE17}</author>
    <author>tc={441413E1-75B8-4B66-A3A0-F47DD3DEB149}</author>
    <author>tc={9AAA5D1F-5EBB-478F-859B-2F306F454015}</author>
    <author>tc={D0CE8124-CE52-4FE4-86FE-6E4134DD329B}</author>
    <author>tc={26557A94-603D-450D-A420-3346593CB121}</author>
    <author>tc={FF1D4A1B-AF1C-4DC0-A473-63F90173E80C}</author>
    <author>tc={88AA5CFF-61E6-4926-8BCC-53E19986381F}</author>
    <author>tc={C04EA162-5267-4566-991A-0D106FB525AC}</author>
    <author>tc={5E3904CA-3ABA-437A-80DF-366A5E6911F1}</author>
    <author>tc={A6A26A8B-FA0A-4BE1-B45A-0E65FDF3959F}</author>
    <author>tc={818B18B5-81E5-4944-8DC1-4595F29E9B6E}</author>
    <author>tc={8E8516D4-6064-449F-8E30-4B1446FBFBC2}</author>
    <author>tc={B6197A90-2A26-44FD-B14A-14E99BAA127F}</author>
    <author>tc={1109F453-F631-41C1-84F4-D649ED381980}</author>
    <author>tc={81B35DEF-89D9-4CD1-8344-3B8B4C5AFC8C}</author>
    <author>tc={E93940A0-CE7F-428C-A75A-AA5178D4BE45}</author>
    <author>tc={2A30E100-DA7A-4B71-B15A-2F06D4E7D2C3}</author>
    <author>tc={155EB7BE-AC50-4B1F-A688-4D1552CD7933}</author>
    <author>tc={8B05B76E-C936-4EFA-9208-6C8A20BC875D}</author>
    <author>tc={04893DF8-045F-4F41-84DB-6AF05A119D5D}</author>
    <author>tc={0DE8730B-5910-4625-A6D7-8FBE82037971}</author>
    <author>tc={4E703D3B-6B2D-4D61-B84C-95B3D8A7D61E}</author>
    <author>tc={94149068-B36A-49AA-BE59-B3C0F0A0B8C6}</author>
    <author>tc={7955F2E6-D71F-4248-96DC-5C50A4B9BF0E}</author>
    <author>tc={69E49BF8-4E3D-4B44-9CFA-4CF66B09E234}</author>
    <author>tc={8CD18221-EE2A-48C9-B53A-B5B66AD53F5F}</author>
    <author>tc={FF4C9935-32A0-4CC7-B369-6CD364D13BA6}</author>
    <author>tc={E66A2AF1-746B-40D2-98D5-98BA018544AD}</author>
    <author>tc={0E590184-4A73-489A-B222-43832AB8F886}</author>
    <author>tc={F2209157-22F3-4D31-8244-808320649112}</author>
    <author>tc={79EA48AA-1E79-4009-AE2B-D2DC6DEA9B76}</author>
    <author>tc={68A6779E-6F37-4C21-82FD-09D44A7B6D1E}</author>
    <author>tc={86AA9885-75D0-4781-BF1B-C005863812F0}</author>
    <author>tc={A73D1914-5346-47A4-AB59-EA9ACF158D0A}</author>
    <author>tc={9C26B832-57EE-49DB-A82F-A41061909152}</author>
    <author>tc={8A475829-732A-416A-948B-BE5A2332EA55}</author>
    <author>tc={99DFE2A9-BC1E-48B4-8723-48A882ABBAAF}</author>
    <author>tc={76EB5FFB-0BEB-40AA-8D2C-67926F330B7D}</author>
    <author>tc={6D6E8F8E-790A-4966-8FD0-644DA94CE5D9}</author>
    <author>tc={F3ED8D56-6C96-43EB-9722-D537E2557850}</author>
    <author>tc={C2695944-3625-4897-8BB1-2053D8C355D5}</author>
    <author>tc={BAA01088-D221-4B4F-90B7-E864B0104B9A}</author>
    <author>tc={EA4FF635-C160-4275-858B-2ADEB981DCB9}</author>
    <author>tc={5A6CE5A6-7A86-4DEA-B0D3-7D87D6303390}</author>
    <author>tc={5849B4AC-185C-4B87-ACF6-0E69CDD461BE}</author>
    <author>tc={EEE53795-E0E9-4AE4-86C7-7A3ACFB6368E}</author>
    <author>tc={4981C360-2825-4AC6-B619-3DF046B00DD9}</author>
  </authors>
  <commentList>
    <comment ref="D2" authorId="0" shapeId="0" xr:uid="{3D6D7BA9-3C75-4F0D-A762-19E897657D32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Obtained from eff_el or COP at last column.
The data for the efficiency has been obtained from values in Normalized Maps excel file, which are from real data.</t>
      </text>
    </comment>
    <comment ref="C3" authorId="1" shapeId="0" xr:uid="{12EEBB76-C6A3-42D2-931A-45D2F827B55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D3" authorId="2" shapeId="0" xr:uid="{AF19BBC9-B0E9-4CE0-A0A6-E51953CDC96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(NG)</t>
      </text>
    </comment>
    <comment ref="K3" authorId="3" shapeId="0" xr:uid="{21C6B519-8CD7-4B25-BE3F-2994B871AE85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O3" authorId="4" shapeId="0" xr:uid="{E5705A2E-ED73-46B4-8602-E7D798BB8C7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€/kW_LHV (NG)</t>
      </text>
    </comment>
    <comment ref="T3" authorId="5" shapeId="0" xr:uid="{24DDFADE-7214-46BC-97AA-509A7495447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3" authorId="6" shapeId="0" xr:uid="{3E1C4C65-33A4-4C89-BA0A-2DDD3F966D3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3" authorId="7" shapeId="0" xr:uid="{653CF647-1C2D-4A36-96D3-B8B2091BB8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4" authorId="8" shapeId="0" xr:uid="{BC77F2B9-AD18-4256-B6E3-5002E79CACF9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4" authorId="9" shapeId="0" xr:uid="{14DC598C-DB07-4335-A179-A1BA20AB12C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4" authorId="10" shapeId="0" xr:uid="{5C500CC8-B19D-42C9-B14E-A32F46400E5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4" authorId="11" shapeId="0" xr:uid="{97914F8C-5371-4E40-8D53-EC82D337AD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5" authorId="12" shapeId="0" xr:uid="{9EEE16D7-8807-4BCC-A906-BEB3368A254F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5" authorId="13" shapeId="0" xr:uid="{901CB679-13D1-4090-8217-A1B6452D1E9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5" authorId="14" shapeId="0" xr:uid="{784D650C-5A82-4617-AA0F-E764D814CDF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5" authorId="15" shapeId="0" xr:uid="{5D9041B4-739D-41F7-899E-F52B76DFC4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6" authorId="16" shapeId="0" xr:uid="{4BFBC945-A5F1-4025-9ABD-7C04D45D8085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6" authorId="17" shapeId="0" xr:uid="{D6EB369A-E263-400E-A4A6-587B104BBBD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6" authorId="18" shapeId="0" xr:uid="{7A14CA92-A1CE-4B1B-8D6C-61CD5E011D8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6" authorId="19" shapeId="0" xr:uid="{608C2F48-6205-488C-AA1E-C52CDB46DC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7" authorId="20" shapeId="0" xr:uid="{D3C81FE0-11B7-44B1-A036-8EF202434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7" authorId="21" shapeId="0" xr:uid="{2176DFBE-D021-4E87-92D2-84AD7DC2E7B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7" authorId="22" shapeId="0" xr:uid="{4E95BC14-B42C-4F78-AFA3-1DA7DDF096F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7" authorId="23" shapeId="0" xr:uid="{34A55A23-97A2-489F-BBD9-553AE3F9BA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8" authorId="24" shapeId="0" xr:uid="{F82C814B-A150-4F87-A44A-C5A6C4385861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8" authorId="25" shapeId="0" xr:uid="{7A04F593-0CF1-40A1-9E1A-012163CBCEE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8" authorId="26" shapeId="0" xr:uid="{666262D3-D8C8-44A1-BCD3-93452EBC67C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8" authorId="27" shapeId="0" xr:uid="{4FF5B2A1-D2A0-49C2-9A8D-A7EA709752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9" authorId="28" shapeId="0" xr:uid="{1F37897C-E844-442D-823D-F830FBF3F37B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9" authorId="29" shapeId="0" xr:uid="{6E018883-6F18-402A-A6BD-3A403F2E8E6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9" authorId="30" shapeId="0" xr:uid="{FDBAD4C1-F5CA-412D-8EA7-F54C4A017EF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9" authorId="31" shapeId="0" xr:uid="{F9BB01B6-FF76-4177-A8C4-DA245425FC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10" authorId="32" shapeId="0" xr:uid="{FE4C73A4-E60B-4F23-B0DB-F105A7218524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10" authorId="33" shapeId="0" xr:uid="{81832D93-E541-4A4D-8B96-9B5E5A257F2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10" authorId="34" shapeId="0" xr:uid="{53BA96BB-676C-4B44-8A71-09C29C221D2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10" authorId="35" shapeId="0" xr:uid="{116D341F-9400-4721-9635-C0AD014AD0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11" authorId="36" shapeId="0" xr:uid="{1811D919-BA3E-4366-8B48-DF6158C46BDC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11" authorId="37" shapeId="0" xr:uid="{C442DAD3-CFF0-4BC5-B6EA-6D626AB804A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11" authorId="38" shapeId="0" xr:uid="{7D39C6DA-BDEA-4190-A798-BC46FEEEA6A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11" authorId="39" shapeId="0" xr:uid="{37AF9379-31F0-4925-B5E8-3C4152516D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12" authorId="40" shapeId="0" xr:uid="{85EAA9A2-3945-40FF-9CCF-9C122AB462A6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12" authorId="41" shapeId="0" xr:uid="{4DD9FE54-2E92-47BC-8FDD-E3DF1E0A8E6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12" authorId="42" shapeId="0" xr:uid="{BB0BA6B8-BE50-4125-84EC-7151DFEDC91E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12" authorId="43" shapeId="0" xr:uid="{B4E6F59F-A580-4604-B764-4886D97F28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K13" authorId="44" shapeId="0" xr:uid="{FF433014-D097-4971-9F12-33C10F065DDC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full eletrical output
15 min full heat output</t>
      </text>
    </comment>
    <comment ref="T13" authorId="45" shapeId="0" xr:uid="{31D50866-08BD-4C6A-B9A0-AFFDE56CC97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U13" authorId="46" shapeId="0" xr:uid="{48EBB30C-FF86-42E3-8D3A-B84D57D95F5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</t>
      </text>
    </comment>
    <comment ref="W13" authorId="47" shapeId="0" xr:uid="{4EA0572F-D701-45B9-8ED1-77C14F72B3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C14" authorId="48" shapeId="0" xr:uid="{A76C801E-2470-4661-AC8C-31292801DDE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D14" authorId="49" shapeId="0" xr:uid="{926821CD-35DF-4914-9FC0-2BE9CF7E38D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(NG)</t>
      </text>
    </comment>
    <comment ref="N14" authorId="50" shapeId="0" xr:uid="{753927EC-D72B-4340-B7EE-4C4962C2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$/kW_el</t>
      </text>
    </comment>
    <comment ref="O14" authorId="51" shapeId="0" xr:uid="{BA4FB2BB-D8C2-42DC-9CD2-DE54483C257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$/kW_LHV (NG)</t>
      </text>
    </comment>
    <comment ref="T14" authorId="52" shapeId="0" xr:uid="{4CFF993A-D846-4C38-9836-3E148E676A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Price of Natural gas: 67.4 €/MWh
(variable cost = fuel cost only)
El. Output point of view
</t>
      </text>
    </comment>
    <comment ref="V14" authorId="53" shapeId="0" xr:uid="{1AAA60CB-A5C4-464A-85D4-609B706488C7}">
      <text>
        <t>[Threaded comment]
Your version of Excel allows you to read this threaded comment; however, any edits to it will get removed if the file is opened in a newer version of Excel. Learn more: https://go.microsoft.com/fwlink/?linkid=870924
Comment:
    3.6% of CAPEX</t>
      </text>
    </comment>
    <comment ref="T15" authorId="54" shapeId="0" xr:uid="{EE75A8A6-CD26-4F1C-BB4C-1676C82875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Price of Natural gas: 67.4 €/MWh
(variable cost = fuel cost only)
El. Output point of view
</t>
      </text>
    </comment>
    <comment ref="V15" authorId="55" shapeId="0" xr:uid="{D27E7082-F346-445F-9ACA-45C6013C44DA}">
      <text>
        <t>[Threaded comment]
Your version of Excel allows you to read this threaded comment; however, any edits to it will get removed if the file is opened in a newer version of Excel. Learn more: https://go.microsoft.com/fwlink/?linkid=870924
Comment:
    3.6% of CAPEX</t>
      </text>
    </comment>
    <comment ref="T16" authorId="56" shapeId="0" xr:uid="{B80810E1-D7F9-4BD2-A34C-E7F5A4DBAC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Price of Natural gas: 67.4 €/MWh
(variable cost = fuel cost only)
El. Output point of view
</t>
      </text>
    </comment>
    <comment ref="V16" authorId="57" shapeId="0" xr:uid="{845A7106-D623-49C0-9944-A0BE70E31206}">
      <text>
        <t>[Threaded comment]
Your version of Excel allows you to read this threaded comment; however, any edits to it will get removed if the file is opened in a newer version of Excel. Learn more: https://go.microsoft.com/fwlink/?linkid=870924
Comment:
    3.6% of CAPEX</t>
      </text>
    </comment>
    <comment ref="C17" authorId="58" shapeId="0" xr:uid="{1A9BAEEF-A6E7-46E9-964E-9180989A538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D17" authorId="59" shapeId="0" xr:uid="{FC9F1DC4-17EC-46CC-AABF-C302720A411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(H2)</t>
      </text>
    </comment>
    <comment ref="N17" authorId="60" shapeId="0" xr:uid="{2B7801A6-FF8D-4F04-87C1-071DDB8BFD4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€/kW_el</t>
      </text>
    </comment>
    <comment ref="O17" authorId="61" shapeId="0" xr:uid="{C03FB6A4-79AE-4B05-9CDE-6625D357BB9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€/kW_LHV (H2)</t>
      </text>
    </comment>
    <comment ref="T17" authorId="62" shapeId="0" xr:uid="{C45A262B-2246-4393-BDE2-BDC5B530B3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H2 (Italy): 0.296 €/kWh
Efficiency of PEMFC 42% (el)
-&gt; 0.296 k€/MWh / 0.42 = 0.7048€/MWh
(variable cost = fuel cost only)</t>
      </text>
    </comment>
    <comment ref="T18" authorId="63" shapeId="0" xr:uid="{6CCBF328-FA08-4B4C-A9FB-8DFCFBB3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H2 (Italy): 0.296 €/kWh
Efficiency of PEMFC 45% (el)
-&gt; 0.296 k€/MWh / 0.45 = 0.6513€/MWh
(variable cost = fuel cost only)</t>
      </text>
    </comment>
    <comment ref="C19" authorId="64" shapeId="0" xr:uid="{8399B7D6-EC33-49D2-A6EE-8F086AF0997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</t>
      </text>
    </comment>
    <comment ref="D19" authorId="65" shapeId="0" xr:uid="{8590B23F-8FC5-4F3D-8C3E-A90FB6E1DB8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(NG)</t>
      </text>
    </comment>
    <comment ref="N19" authorId="66" shapeId="0" xr:uid="{699F6457-7CBB-4A72-A0D0-9E1EE53F79EC}">
      <text>
        <t>[Threaded comment]
Your version of Excel allows you to read this threaded comment; however, any edits to it will get removed if the file is opened in a newer version of Excel. Learn more: https://go.microsoft.com/fwlink/?linkid=870924
Comment:
    €/kW_th per tutta categoria</t>
      </text>
    </comment>
    <comment ref="O19" authorId="67" shapeId="0" xr:uid="{3E19F538-391B-43FE-9788-EF5C1DF610B8}">
      <text>
        <t>[Threaded comment]
Your version of Excel allows you to read this threaded comment; however, any edits to it will get removed if the file is opened in a newer version of Excel. Learn more: https://go.microsoft.com/fwlink/?linkid=870924
Comment:
    €/kW_th per tutta categoria</t>
      </text>
    </comment>
    <comment ref="T19" authorId="68" shapeId="0" xr:uid="{2AC4A3D3-25DD-453E-91EA-9EDD8F6932C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19" authorId="69" shapeId="0" xr:uid="{46089513-E6DC-420A-8A33-7F61D5DF3C9D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19" authorId="70" shapeId="0" xr:uid="{EFD430E3-791E-476D-B2BE-0D85F18BD7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20" authorId="71" shapeId="0" xr:uid="{69C46BCB-039A-43B8-BEAE-308337720BE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20" authorId="72" shapeId="0" xr:uid="{45D285E0-4140-4103-8A08-1B1DC2423A07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20" authorId="73" shapeId="0" xr:uid="{034B1AF4-CB0E-48A7-835C-0D83723CBE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21" authorId="74" shapeId="0" xr:uid="{8DB415DD-8C78-41F3-87E8-AB443B2F78A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21" authorId="75" shapeId="0" xr:uid="{EDA0529E-7F73-41D7-8B24-83B3207F98C9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21" authorId="76" shapeId="0" xr:uid="{37145580-212F-4CBE-A599-A8F4BD5F3E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22" authorId="77" shapeId="0" xr:uid="{202E9A80-05A6-4F5B-854A-3992B8CAEED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22" authorId="78" shapeId="0" xr:uid="{14EE728D-2982-4503-A13A-F2480C5FAB53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22" authorId="79" shapeId="0" xr:uid="{024BFEA0-46F7-48A5-9024-CA092E9DF4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23" authorId="80" shapeId="0" xr:uid="{29C55AB2-B80B-4E95-9276-221FA145D43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23" authorId="81" shapeId="0" xr:uid="{F9EA31C7-8427-4759-B47A-6044661A24BA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23" authorId="82" shapeId="0" xr:uid="{7974F667-BB16-4FD3-836E-D54BB76648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24" authorId="83" shapeId="0" xr:uid="{FEDC7192-0D60-40DB-9AF0-AA20C7FB959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24" authorId="84" shapeId="0" xr:uid="{1D61B990-6ED0-4375-9C8F-7835A55888F0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24" authorId="85" shapeId="0" xr:uid="{5434DCF0-0057-4C30-B81E-5935475E23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25" authorId="86" shapeId="0" xr:uid="{4260110B-4DC7-4724-B6CB-C5F7BE693C4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25" authorId="87" shapeId="0" xr:uid="{9FE8E461-5AE5-4EBA-8E74-8DB3C82200AC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25" authorId="88" shapeId="0" xr:uid="{36E34398-8933-4D0F-AAD9-EC9D27365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26" authorId="89" shapeId="0" xr:uid="{CC0A5805-F6DA-43D1-8CEA-254FDBC6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k€/MWh_el
Price of Natural gas: 67.4 €/MWh</t>
      </text>
    </comment>
    <comment ref="V26" authorId="90" shapeId="0" xr:uid="{C232AACC-7566-4DBC-8A70-15CC25B38578}">
      <text>
        <t>[Threaded comment]
Your version of Excel allows you to read this threaded comment; however, any edits to it will get removed if the file is opened in a newer version of Excel. Learn more: https://go.microsoft.com/fwlink/?linkid=870924
Comment:
    3% Capex
Udm: k€/MW_th*y</t>
      </text>
    </comment>
    <comment ref="W26" authorId="91" shapeId="0" xr:uid="{2A7F72E6-08D4-462F-A415-BE95F56641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C27" authorId="92" shapeId="0" xr:uid="{63837B55-EFEC-43F9-9518-97C757F02D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
</t>
      </text>
    </comment>
    <comment ref="D27" authorId="93" shapeId="0" xr:uid="{EBB49CEE-D197-46F8-BB13-7E2E62BDF8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N27" authorId="94" shapeId="0" xr:uid="{3BF49932-75F5-465A-A46B-C45C5F0F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O27" authorId="95" shapeId="0" xr:uid="{158170AA-0ACE-4175-B79D-DE33D589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T27" authorId="96" shapeId="0" xr:uid="{3A37DB85-6D3A-4258-B153-514EBD43E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V27" authorId="97" shapeId="0" xr:uid="{C1B27D58-0457-4BBB-B970-4F107FB8905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AC27" authorId="98" shapeId="0" xr:uid="{4DFB0D01-A2A8-40B8-91E7-D8AD1BA7F8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T28" authorId="99" shapeId="0" xr:uid="{A132E655-C99B-4293-99E7-19474D3394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29" authorId="100" shapeId="0" xr:uid="{B7DDC8BB-473C-4804-94CA-7ED1BAE0C5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30" authorId="101" shapeId="0" xr:uid="{39775483-4F8B-4549-B5E1-2C4CA15983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31" authorId="102" shapeId="0" xr:uid="{96375E32-7E7E-45C8-BB47-316FAE5D20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32" authorId="103" shapeId="0" xr:uid="{F50FC354-75D2-4DE8-91EE-C361E8122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33" authorId="104" shapeId="0" xr:uid="{D3F5AA25-88F3-418C-A744-7501CD410E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34" authorId="105" shapeId="0" xr:uid="{424EAEA2-AB4E-4AD6-87A9-02584A1A79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35" authorId="106" shapeId="0" xr:uid="{FBA15255-47A1-4ADC-B035-D5543FF017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N36" authorId="107" shapeId="0" xr:uid="{EB353867-AB75-45B0-A251-584D5E620C3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O36" authorId="108" shapeId="0" xr:uid="{E465EC87-04EA-48E9-8B91-04E1B326568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T36" authorId="109" shapeId="0" xr:uid="{94981713-9EE6-46C1-8DA4-910D8F2E6D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V36" authorId="110" shapeId="0" xr:uid="{608F6BE3-7D08-436B-811C-3C1EC061473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2.5% Capex</t>
      </text>
    </comment>
    <comment ref="T37" authorId="111" shapeId="0" xr:uid="{F174CDD3-03F9-4878-8BB5-9B8601FF98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38" authorId="112" shapeId="0" xr:uid="{59CA68DC-3B79-4391-8BB2-E61C1783D8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39" authorId="113" shapeId="0" xr:uid="{8208D1BD-D002-4E3D-83B9-3C9B92FF42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40" authorId="114" shapeId="0" xr:uid="{E4B5ECD8-1A7E-4D99-8D0D-EFFFEC110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41" authorId="115" shapeId="0" xr:uid="{B276B462-5F4A-40B3-8F73-7AC93EB869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C42" authorId="116" shapeId="0" xr:uid="{6C33FEBB-4EAD-4F8F-84F7-9E3AE7495C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kW_th_cooling
</t>
      </text>
    </comment>
    <comment ref="D42" authorId="117" shapeId="0" xr:uid="{0B148349-55E5-4D76-AF24-AA12C6AE67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N42" authorId="118" shapeId="0" xr:uid="{5ECF6FC1-6FA5-4104-8254-C03A28C0C82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O42" authorId="119" shapeId="0" xr:uid="{40CDB41C-6C38-4E03-9877-D2C9A628B49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V42" authorId="120" shapeId="0" xr:uid="{8BC46D78-8D17-459A-B954-7F5E14442C8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AC42" authorId="121" shapeId="0" xr:uid="{F2716D50-0F69-4C04-AB53-29D159ABF155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N51" authorId="122" shapeId="0" xr:uid="{0DCAA262-FF4A-4FE8-BE3C-89F5FEB0EAC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O51" authorId="123" shapeId="0" xr:uid="{101DE8A5-9C70-43E3-B35E-4EEA0998196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V51" authorId="124" shapeId="0" xr:uid="{C0FC23ED-EEE9-421F-A852-D9F5EBCD257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2.5% Capex</t>
      </text>
    </comment>
    <comment ref="C57" authorId="125" shapeId="0" xr:uid="{9095187D-57FC-4FAF-86EF-74013E7B5E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
</t>
      </text>
    </comment>
    <comment ref="D57" authorId="126" shapeId="0" xr:uid="{91430351-0052-446A-A610-8F9A7F6CD5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T57" authorId="127" shapeId="0" xr:uid="{7727034E-ECD2-43C7-84B8-72744C2270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AC57" authorId="128" shapeId="0" xr:uid="{9A57853D-854B-4C93-AB13-AACA2F870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T58" authorId="129" shapeId="0" xr:uid="{911CEF34-48BB-4DCF-85AA-925568C0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59" authorId="130" shapeId="0" xr:uid="{5ACE4389-9E1F-47D8-A645-BD49F6B7A0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60" authorId="131" shapeId="0" xr:uid="{202E2A34-D7CF-489F-B041-6B8DC4AC5A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61" authorId="132" shapeId="0" xr:uid="{1E7BD1AC-F7F0-4A90-9B82-85F1052D08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62" authorId="133" shapeId="0" xr:uid="{32BE87E6-585C-4632-913A-53199648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C63" authorId="134" shapeId="0" xr:uid="{E99F47DE-6FDF-4B87-9421-55009F55A3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
</t>
      </text>
    </comment>
    <comment ref="D63" authorId="135" shapeId="0" xr:uid="{2BBFCD5D-A5D6-4C57-9B8B-272068A972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AC63" authorId="136" shapeId="0" xr:uid="{6C0415FA-AA23-4AE2-B984-ECB1557274F6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C69" authorId="137" shapeId="0" xr:uid="{6BF6559E-5D05-40D0-9913-9821C440A9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
</t>
      </text>
    </comment>
    <comment ref="D69" authorId="138" shapeId="0" xr:uid="{67EA0EE3-C87E-4483-81AD-E60E2129CC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T69" authorId="139" shapeId="0" xr:uid="{47F9AB6C-95B5-45E6-B8C0-2A55D38D87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V69" authorId="140" shapeId="0" xr:uid="{F46FF817-DE09-45F1-BF1E-5433E6D5BB9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AC69" authorId="141" shapeId="0" xr:uid="{0A27ED5D-AF1A-44B4-82DB-A8357A7D2B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T70" authorId="142" shapeId="0" xr:uid="{D4779328-D731-4282-B88D-F1D23699C0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71" authorId="143" shapeId="0" xr:uid="{ABF72B6E-BDDD-4107-85E3-B8C628C00C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72" authorId="144" shapeId="0" xr:uid="{2C87CE61-DF9C-4044-B71F-BAAD5275D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73" authorId="145" shapeId="0" xr:uid="{D3398B9C-E631-4CF1-BC47-EE397995F2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74" authorId="146" shapeId="0" xr:uid="{EC01629C-BFFD-41AB-A2A3-4986A08435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75" authorId="147" shapeId="0" xr:uid="{03D0213C-25A6-4F61-9B62-B9DAF274D7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76" authorId="148" shapeId="0" xr:uid="{1E73A8CB-B5BD-40EA-9BC8-2385919844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77" authorId="149" shapeId="0" xr:uid="{14CE625D-E963-426C-A085-FFAFDB6120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78" authorId="150" shapeId="0" xr:uid="{BB45F921-7735-475B-9294-F8C92F9E00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79" authorId="151" shapeId="0" xr:uid="{4744A401-9E67-4A9D-8E9F-DE4307FBF3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80" authorId="152" shapeId="0" xr:uid="{B5842FA3-1C40-47BC-9BAA-3E4A4C83C7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C81" authorId="153" shapeId="0" xr:uid="{69FA9DAD-35FD-4EEC-BC32-EFF9F330EE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kW_th_cooling
</t>
      </text>
    </comment>
    <comment ref="D81" authorId="154" shapeId="0" xr:uid="{E082F065-10E3-4646-B63F-038842062F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V81" authorId="155" shapeId="0" xr:uid="{8A180C24-C20F-43CD-B145-B4BED1189D80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AC81" authorId="156" shapeId="0" xr:uid="{BE7CB362-0E25-48DF-BFDE-4A3185EF5EED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C93" authorId="157" shapeId="0" xr:uid="{E5CFE474-BDBB-4204-ADAC-3DADC6F761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
</t>
      </text>
    </comment>
    <comment ref="D93" authorId="158" shapeId="0" xr:uid="{856468AB-EB08-436B-9C6B-4B948F2D7E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T93" authorId="159" shapeId="0" xr:uid="{C1486A43-4628-40B9-B781-B651C488DF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V93" authorId="160" shapeId="0" xr:uid="{66FDB224-CC91-4D36-A760-4A0EF6C3395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AC93" authorId="161" shapeId="0" xr:uid="{0D1E243E-4D1B-44C2-8F71-788A09525047}">
      <text>
        <t>[Threaded comment]
Your version of Excel allows you to read this threaded comment; however, any edits to it will get removed if the file is opened in a newer version of Excel. Learn more: https://go.microsoft.com/fwlink/?linkid=870924
Comment:
    COP</t>
      </text>
    </comment>
    <comment ref="T94" authorId="162" shapeId="0" xr:uid="{847F5FE0-C8F2-4A49-A3FC-8C9D191EBC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95" authorId="163" shapeId="0" xr:uid="{97021648-BDCC-4020-8F71-67A5285A82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96" authorId="164" shapeId="0" xr:uid="{BC080D1A-7FF5-4893-A7D8-36A6B79A86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97" authorId="165" shapeId="0" xr:uid="{12AC1359-E51F-4D4C-A633-F2986E8CE0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98" authorId="166" shapeId="0" xr:uid="{9C2FA591-D1AD-4914-B62E-42EB0DF2CE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99" authorId="167" shapeId="0" xr:uid="{1D4AA305-6862-412D-8496-782778B2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00" authorId="168" shapeId="0" xr:uid="{6D1BA859-29BD-4620-9AD7-A46E3AD1F3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01" authorId="169" shapeId="0" xr:uid="{A6D902D6-1A32-40C3-80DE-FFC7149790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02" authorId="170" shapeId="0" xr:uid="{36F6EC97-5A5E-49FD-8BA4-2A33A23947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03" authorId="171" shapeId="0" xr:uid="{121D5B8C-B3F9-4BE5-9B0B-3E1BC4AF27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04" authorId="172" shapeId="0" xr:uid="{5AEA0D73-6128-4A8F-86E4-E6C3E73EB2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C105" authorId="173" shapeId="0" xr:uid="{3FA08F25-E05C-4CFA-A5D0-D7DC293F47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kW_th_cooling
</t>
      </text>
    </comment>
    <comment ref="D105" authorId="174" shapeId="0" xr:uid="{D6EFA72D-27FB-478F-B803-3B6AFDCEC0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V105" authorId="175" shapeId="0" xr:uid="{EF39D661-3EF5-4782-B655-311AB9BBF6D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AC105" authorId="176" shapeId="0" xr:uid="{460DB407-9338-4252-8D82-504956B50AF7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C117" authorId="177" shapeId="0" xr:uid="{E9C3360F-9E62-4A74-B6B2-F3EF33A200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
</t>
      </text>
    </comment>
    <comment ref="D117" authorId="178" shapeId="0" xr:uid="{F37697FA-1B83-4250-BEA4-9D98EF4299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T117" authorId="179" shapeId="0" xr:uid="{BA6069E9-6AB1-479E-846A-1C0263FE91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V117" authorId="180" shapeId="0" xr:uid="{B02C1074-0DDA-4BC7-862D-66F8D523F7BD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T118" authorId="181" shapeId="0" xr:uid="{0BCD06CA-78B8-47B3-A477-F7145AE1C6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119" authorId="182" shapeId="0" xr:uid="{4D724766-097D-4C17-A5FF-0C8078CA5A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Residential</t>
      </text>
    </comment>
    <comment ref="T120" authorId="183" shapeId="0" xr:uid="{67E094CA-732D-4A7B-B26B-9875115A16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1" authorId="184" shapeId="0" xr:uid="{CBAC1019-5A6B-4ECA-B44B-E304707729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2" authorId="185" shapeId="0" xr:uid="{AFAC575F-2CE5-4AE4-B7C2-1BC967993A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3" authorId="186" shapeId="0" xr:uid="{2A7EA667-AE15-4536-BE56-6C8CF160B2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4" authorId="187" shapeId="0" xr:uid="{3F25AD55-F777-4F48-8484-12C220E6EC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5" authorId="188" shapeId="0" xr:uid="{58ED7B38-3394-46F2-8240-3CA9B7DF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6" authorId="189" shapeId="0" xr:uid="{A3D3CB36-E3AB-4CF9-A8E9-07AAF7571AB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7" authorId="190" shapeId="0" xr:uid="{D9F48FFB-302C-4DE9-A544-2E6B5DA12E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T128" authorId="191" shapeId="0" xr:uid="{9EC94C7C-4E84-4780-9A8A-8577524C56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Residential Electricity cost = 0.2872 €/kWh (from [122])
Industril Electricity cost = 0.1899€/kWh (from [122])
For this size: Industrial</t>
      </text>
    </comment>
    <comment ref="C129" authorId="192" shapeId="0" xr:uid="{82C540E6-3785-4739-B546-2B345C06B8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kW_th_cooling
</t>
      </text>
    </comment>
    <comment ref="D129" authorId="193" shapeId="0" xr:uid="{716CE568-1304-4A8A-AB78-978E59FDF6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UDM: kW_el (input)
</t>
      </text>
    </comment>
    <comment ref="V129" authorId="194" shapeId="0" xr:uid="{F638D329-F217-4293-A78E-380E80681E8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k€/MW_th*y
1.5% Capex, min 350€</t>
      </text>
    </comment>
    <comment ref="AC129" authorId="195" shapeId="0" xr:uid="{FF40A4DD-9C7D-4AEA-9153-0BDFD3F42AF5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E141" authorId="196" shapeId="0" xr:uid="{EBC78036-BB9F-4B81-B648-7D88DBC0E764}">
      <text>
        <t>[Threaded comment]
Your version of Excel allows you to read this threaded comment; however, any edits to it will get removed if the file is opened in a newer version of Excel. Learn more: https://go.microsoft.com/fwlink/?linkid=870924
Comment:
    Output (H2) is in kW_LHV-H2
Much more data and points in Normalized Maps excel file!</t>
      </text>
    </comment>
    <comment ref="F141" authorId="197" shapeId="0" xr:uid="{2489A6AD-7E79-4E75-92B7-824118278460}">
      <text>
        <t>[Threaded comment]
Your version of Excel allows you to read this threaded comment; however, any edits to it will get removed if the file is opened in a newer version of Excel. Learn more: https://go.microsoft.com/fwlink/?linkid=870924
Comment:
    Output (H2) is in kW_LHV-H2
Much more data and points in Normalized Maps excel file!</t>
      </text>
    </comment>
    <comment ref="N141" authorId="198" shapeId="0" xr:uid="{A00518E0-B2EB-40B4-9D9F-6BB7F5D03ADE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k$/kW_LHV-H2</t>
      </text>
    </comment>
    <comment ref="O141" authorId="199" shapeId="0" xr:uid="{80EB1A9E-1831-4F60-ADCD-7E8BD28C9DE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k$/kW_el</t>
      </text>
    </comment>
    <comment ref="T141" authorId="200" shapeId="0" xr:uid="{347EDA34-8350-4DB1-92D9-68750B3F6F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el. = 0.1899 €/kWh
</t>
      </text>
    </comment>
    <comment ref="V141" authorId="201" shapeId="0" xr:uid="{ADBDBA1F-4A9B-42DF-BF94-3D9188723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Vanno convertiti da €/(kg/d)/y a €/(kW*y) moltiplicando il primo (valore in resource [40]) * Capital cost (€/kW) / Capital Cost (€/kg*d) 
Entrambi Capital Cost da resource [40]</t>
      </text>
    </comment>
    <comment ref="W141" authorId="202" shapeId="0" xr:uid="{350C5BF5-F122-4F9A-98B5-CE06430E0C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</t>
      </text>
    </comment>
    <comment ref="E142" authorId="203" shapeId="0" xr:uid="{B34B6BF2-CE91-448B-B0DF-FC377D888BB1}">
      <text>
        <t>[Threaded comment]
Your version of Excel allows you to read this threaded comment; however, any edits to it will get removed if the file is opened in a newer version of Excel. Learn more: https://go.microsoft.com/fwlink/?linkid=870924
Comment:
    Output (H2) is in kW_LHV-H2
Much more data and points in Normalized Maps excel file!</t>
      </text>
    </comment>
    <comment ref="F142" authorId="204" shapeId="0" xr:uid="{E5715C6C-C69A-4BCE-AB1F-AD94E7F87162}">
      <text>
        <t>[Threaded comment]
Your version of Excel allows you to read this threaded comment; however, any edits to it will get removed if the file is opened in a newer version of Excel. Learn more: https://go.microsoft.com/fwlink/?linkid=870924
Comment:
    Output (H2) is in kW_LHV-H2
Much more data and points in Normalized Maps excel file!</t>
      </text>
    </comment>
    <comment ref="N142" authorId="205" shapeId="0" xr:uid="{42A3968F-30F4-4A07-8F4E-65760147459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k$/kW_LHV-H2</t>
      </text>
    </comment>
    <comment ref="O142" authorId="206" shapeId="0" xr:uid="{F3509144-FE69-4F6D-B153-694076D586A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k$/kW_el</t>
      </text>
    </comment>
    <comment ref="T142" authorId="207" shapeId="0" xr:uid="{23C21C39-7929-4D51-A9A1-6B2863DF67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Cost el. = 0.1899 €/kWh
</t>
      </text>
    </comment>
    <comment ref="V142" authorId="208" shapeId="0" xr:uid="{CD2A8D34-FD97-42EA-B205-BC79ED42769C}">
      <text>
        <t>[Threaded comment]
Your version of Excel allows you to read this threaded comment; however, any edits to it will get removed if the file is opened in a newer version of Excel. Learn more: https://go.microsoft.com/fwlink/?linkid=870924
Comment:
    Vanno convertiti da €/(kg/d)/y a €/(kW*y) moltiplicando il primo (valore in resource [40]) * Capital cost (€/kW) / Capital Cost (€/kg*d) 
Entrambi Capital Cost da resource [40]</t>
      </text>
    </comment>
    <comment ref="W142" authorId="209" shapeId="0" xr:uid="{272B52D1-215A-4A2A-9141-E0482A3D42B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</t>
      </text>
    </comment>
    <comment ref="C143" authorId="210" shapeId="0" xr:uid="{B6DF9FFD-3937-4BC1-9154-510890688CC9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</t>
      </text>
    </comment>
    <comment ref="D143" authorId="211" shapeId="0" xr:uid="{4F55B212-0456-41CA-B1FF-F50107D3A70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(Wood Chips)</t>
      </text>
    </comment>
    <comment ref="T143" authorId="212" shapeId="0" xr:uid="{D1914C72-8AFF-4819-A899-E8998BE784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43" authorId="213" shapeId="0" xr:uid="{AB202F3E-B57D-4B41-9BF5-9ECEE3E665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44" authorId="214" shapeId="0" xr:uid="{2B0E1532-34C3-4B78-B36C-5D40698081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44" authorId="215" shapeId="0" xr:uid="{684940F3-C88B-4901-8ED0-4B837D38B9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45" authorId="216" shapeId="0" xr:uid="{095F1A4D-664B-4D8E-AAB1-267619CF5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45" authorId="217" shapeId="0" xr:uid="{DC825997-119C-454C-AB9D-3ED227E5F0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46" authorId="218" shapeId="0" xr:uid="{FC0AE1D3-71AB-45BC-9999-B6BA0EF204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46" authorId="219" shapeId="0" xr:uid="{4D9B6774-8BCF-4742-9900-8E0CCED1DF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47" authorId="220" shapeId="0" xr:uid="{E3256D13-1290-4223-BC0C-EF0DFD937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47" authorId="221" shapeId="0" xr:uid="{2DB5CBD2-89A3-4519-B4F4-122D64C746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48" authorId="222" shapeId="0" xr:uid="{C913A5B6-E796-447B-B5D8-CCC1A53797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48" authorId="223" shapeId="0" xr:uid="{B9251006-84F7-4E4E-B308-86D5A419B1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49" authorId="224" shapeId="0" xr:uid="{EC3121BE-A3A3-42EA-853F-46DA742F54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49" authorId="225" shapeId="0" xr:uid="{68F9A384-903C-48EF-9409-7D6A9BF43B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0" authorId="226" shapeId="0" xr:uid="{1D3B968A-40D5-4695-9080-3F2DE787C0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0" authorId="227" shapeId="0" xr:uid="{531DEB51-52C7-4775-972E-529749849D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1" authorId="228" shapeId="0" xr:uid="{548F1001-50D5-4824-B95C-1F2026F7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1" authorId="229" shapeId="0" xr:uid="{8B446236-DA59-4052-BD63-15D537C753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2" authorId="230" shapeId="0" xr:uid="{129FEF60-927C-4E86-834A-36CD276835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2" authorId="231" shapeId="0" xr:uid="{5ECD8792-653F-4D55-8A9F-DFF0140B6A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3" authorId="232" shapeId="0" xr:uid="{922EB8AE-6654-40F1-9CEA-3F30E0B3F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3" authorId="233" shapeId="0" xr:uid="{62C5568F-DEB3-4C7F-8B6A-F6B7A71EDD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4" authorId="234" shapeId="0" xr:uid="{04E9D552-617F-4EA1-951C-576160E94E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4" authorId="235" shapeId="0" xr:uid="{644842D7-8CCC-437E-A75A-061E91B9E7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5" authorId="236" shapeId="0" xr:uid="{77E400D7-D2D9-4EC4-AB93-059C1F6E0D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5" authorId="237" shapeId="0" xr:uid="{A51EBFD1-D51E-4487-9C9E-F5A8D48806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6" authorId="238" shapeId="0" xr:uid="{4A75D2F4-14C1-44DF-BC81-40DD378AB7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6" authorId="239" shapeId="0" xr:uid="{6F92F6E1-8827-45E6-ADB2-EC873CECF9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7" authorId="240" shapeId="0" xr:uid="{D849146F-BBB4-4D08-9ED2-88FBAD051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7" authorId="241" shapeId="0" xr:uid="{45359EEC-3CC4-49EA-809C-46144158D8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8" authorId="242" shapeId="0" xr:uid="{9687838B-0593-4546-8757-810397C373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8" authorId="243" shapeId="0" xr:uid="{3A39C8A0-2071-4283-8E3C-23EF69C094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59" authorId="244" shapeId="0" xr:uid="{77F464D8-3784-42B4-8356-73DEA608FE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59" authorId="245" shapeId="0" xr:uid="{8C886F79-1416-4B38-8EAF-E6297FB828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0" authorId="246" shapeId="0" xr:uid="{2B11BFF2-EA93-4E78-98D2-6AAAF72A97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60" authorId="247" shapeId="0" xr:uid="{8ABBACEE-08CB-4464-9146-31C4D811C8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1" authorId="248" shapeId="0" xr:uid="{B329F920-EB0E-4E5B-838D-2D75FA29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61" authorId="249" shapeId="0" xr:uid="{BD6304EC-A9D8-4550-ABB3-2A4AE76E9E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2" authorId="250" shapeId="0" xr:uid="{9E54E7CC-CDAF-4F5E-8597-79199E3F1F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62" authorId="251" shapeId="0" xr:uid="{E240182F-3373-4FA8-8EE2-94AF4EE27C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3" authorId="252" shapeId="0" xr:uid="{6B54AC01-4744-4663-901E-132D1E13A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63" authorId="253" shapeId="0" xr:uid="{C4277481-91A0-4785-B7C5-99DE67102D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4" authorId="254" shapeId="0" xr:uid="{0710A027-16ED-4E23-96FE-59F8C93183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Wood Chips: 33.8 €/MWh
-&gt; 0.0338 k€/MWh 
(variable cost = fuel cost only)</t>
      </text>
    </comment>
    <comment ref="W164" authorId="255" shapeId="0" xr:uid="{5ACC5E15-FD73-47C2-9798-EFCCE305ED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C165" authorId="256" shapeId="0" xr:uid="{96B48D63-4D69-4EE8-A16F-7208CCACBA8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</t>
      </text>
    </comment>
    <comment ref="D165" authorId="257" shapeId="0" xr:uid="{347565B3-BEF4-4627-9F01-E59262A12908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</t>
      </text>
    </comment>
    <comment ref="T165" authorId="258" shapeId="0" xr:uid="{450F9D41-82EA-4705-8D08-ADD4B1657A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65" authorId="259" shapeId="0" xr:uid="{E098EBEB-60EC-41B3-A418-C8F0FDFF1C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6" authorId="260" shapeId="0" xr:uid="{16581453-B6B8-44D2-A2B6-3414317603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66" authorId="261" shapeId="0" xr:uid="{26E80065-6A67-4683-8DE9-6FEEDB8936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7" authorId="262" shapeId="0" xr:uid="{BF4F8BD8-CFFA-4FB7-9A41-F7D5617841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67" authorId="263" shapeId="0" xr:uid="{3FD260DE-2C5D-48E6-A4D1-71DA5DC856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8" authorId="264" shapeId="0" xr:uid="{0869DDBF-B0E7-4515-9E60-4DAD16B4EA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68" authorId="265" shapeId="0" xr:uid="{96F74672-C3B8-40E6-84FD-EFC2C3299A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69" authorId="266" shapeId="0" xr:uid="{42562E6E-AD6B-4805-91A4-CC615AE9D4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69" authorId="267" shapeId="0" xr:uid="{A000F735-2CF5-41B5-8078-B61FCBAF9A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0" authorId="268" shapeId="0" xr:uid="{E6E2E3AF-0EB3-47CF-99AA-034CFBB434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70" authorId="269" shapeId="0" xr:uid="{3E5A9095-EC78-46F4-BD8C-A4AA1E7834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1" authorId="270" shapeId="0" xr:uid="{375071E3-5FA3-488F-A27C-D31013275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71" authorId="271" shapeId="0" xr:uid="{D764F59C-BC6C-47FC-A116-194C83EC8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2" authorId="272" shapeId="0" xr:uid="{02486387-9D88-4B5A-A1E7-22EEEB5765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72" authorId="273" shapeId="0" xr:uid="{C5E7D2A7-34DD-4B65-9D03-D6474B4A2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3" authorId="274" shapeId="0" xr:uid="{420FD961-8EE5-40AE-B4CE-63432AF47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73" authorId="275" shapeId="0" xr:uid="{3C33D95E-FACD-41D9-A9DC-6CFABEC211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4" authorId="276" shapeId="0" xr:uid="{B52FAC7E-9E3C-42AC-A871-2095FFF0A4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74" authorId="277" shapeId="0" xr:uid="{F9FAEB3F-A47C-4A91-BFC8-356FD1F5B4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5" authorId="278" shapeId="0" xr:uid="{D7DE3029-5CEB-4437-985F-D60329562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Pellet: 56.4 €/MWh
-&gt; 0.0564 k€/MWh
(variable cost = fuel cost only)</t>
      </text>
    </comment>
    <comment ref="W175" authorId="279" shapeId="0" xr:uid="{3CC83B95-80A9-4611-8A54-BBB3B5365C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C176" authorId="280" shapeId="0" xr:uid="{60BB9C4B-C052-49D4-A679-7DEDE10EC7D7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D176" authorId="281" shapeId="0" xr:uid="{A01BBBB3-A0DF-4ABA-A207-161BE3221884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kW_LHV (biomass)</t>
      </text>
    </comment>
    <comment ref="T176" authorId="282" shapeId="0" xr:uid="{B467EB3C-3F9B-4702-8923-DB072B28F3F0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to feed considered as waste</t>
      </text>
    </comment>
    <comment ref="V176" authorId="283" shapeId="0" xr:uid="{B35C3361-00B2-44D0-B357-3C632121CF39}">
      <text>
        <t>[Threaded comment]
Your version of Excel allows you to read this threaded comment; however, any edits to it will get removed if the file is opened in a newer version of Excel. Learn more: https://go.microsoft.com/fwlink/?linkid=870924
Comment:
    2.5 % Capex</t>
      </text>
    </comment>
    <comment ref="W176" authorId="284" shapeId="0" xr:uid="{007F783E-D8DB-4465-A88C-645CF90AA2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7" authorId="285" shapeId="0" xr:uid="{24CE123A-960E-4D63-90BD-A87FDBF43854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to feed considered as waste</t>
      </text>
    </comment>
    <comment ref="V177" authorId="286" shapeId="0" xr:uid="{DF05C47E-C32D-4B0F-9D2E-4AB56932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2 % Capex</t>
      </text>
    </comment>
    <comment ref="W177" authorId="287" shapeId="0" xr:uid="{36E2E6CF-2D43-4B1C-B2A9-33DF852931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T178" authorId="288" shapeId="0" xr:uid="{6ECBF849-B367-40C6-A29E-7C09BA2F582A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to feed considered as waste</t>
      </text>
    </comment>
    <comment ref="V178" authorId="289" shapeId="0" xr:uid="{982A194F-D356-41E5-B5FF-9159C07655E0}">
      <text>
        <t>[Threaded comment]
Your version of Excel allows you to read this threaded comment; however, any edits to it will get removed if the file is opened in a newer version of Excel. Learn more: https://go.microsoft.com/fwlink/?linkid=870924
Comment:
    2 % Capex</t>
      </text>
    </comment>
    <comment ref="W178" authorId="290" shapeId="0" xr:uid="{5803B740-F208-4F2C-A325-58F41BCF9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info on separate sheet (Startup Cost)
</t>
      </text>
    </comment>
    <comment ref="C179" authorId="291" shapeId="0" xr:uid="{5C2C25E6-9187-4C61-B682-58871B43A5B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</t>
      </text>
    </comment>
    <comment ref="D179" authorId="292" shapeId="0" xr:uid="{9451AE48-8A01-41B7-9CF1-48975D8ACA3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 (input)</t>
      </text>
    </comment>
    <comment ref="E179" authorId="293" shapeId="0" xr:uid="{4F145B24-31F6-4D18-974A-4CBB28C22FDB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F179" authorId="294" shapeId="0" xr:uid="{4CFBF61B-4365-4B16-B526-5D47F02E3B13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N179" authorId="295" shapeId="0" xr:uid="{51EEE20E-061C-4114-B41A-BE041CEA6E03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$/kW_th</t>
      </text>
    </comment>
    <comment ref="O179" authorId="296" shapeId="0" xr:uid="{600B079B-E520-49FE-A446-E4178A79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$/kW_th</t>
      </text>
    </comment>
    <comment ref="V179" authorId="297" shapeId="0" xr:uid="{150202C2-AFFD-4C16-9FDE-0B08DD15703E}">
      <text>
        <t>[Threaded comment]
Your version of Excel allows you to read this threaded comment; however, any edits to it will get removed if the file is opened in a newer version of Excel. Learn more: https://go.microsoft.com/fwlink/?linkid=870924
Comment:
    Udm : k$/(MW_th*y)
3% CAPEX</t>
      </text>
    </comment>
    <comment ref="AC179" authorId="298" shapeId="0" xr:uid="{B722A08A-50CD-422E-93C0-516A990DC206}">
      <text>
        <t>[Threaded comment]
Your version of Excel allows you to read this threaded comment; however, any edits to it will get removed if the file is opened in a newer version of Excel. Learn more: https://go.microsoft.com/fwlink/?linkid=870924
Comment:
    EER</t>
      </text>
    </comment>
    <comment ref="E180" authorId="299" shapeId="0" xr:uid="{6A074C49-1B78-471F-AC00-CD6D41DBD124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F180" authorId="300" shapeId="0" xr:uid="{F6424FB9-2E12-41CC-9D8C-4327C8D96FBA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E181" authorId="301" shapeId="0" xr:uid="{8F3095ED-C575-4599-959F-EE84226F70C0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F181" authorId="302" shapeId="0" xr:uid="{1BDAFB37-80B5-4232-996A-B845AE10440D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C182" authorId="303" shapeId="0" xr:uid="{F2B2C992-A743-474B-ADDF-5B54A25B740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</t>
      </text>
    </comment>
    <comment ref="D182" authorId="304" shapeId="0" xr:uid="{6D81C877-AF0B-4622-8793-84BF5B8EB3D6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 (input)</t>
      </text>
    </comment>
    <comment ref="E182" authorId="305" shapeId="0" xr:uid="{30594B84-2268-4613-BCB1-4E5B8A88FB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F182" authorId="306" shapeId="0" xr:uid="{B94681D3-8D4D-4110-A014-4EB4674AF399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more data and points in Normalized Maps excel file!</t>
      </text>
    </comment>
    <comment ref="N182" authorId="307" shapeId="0" xr:uid="{608ADF9D-440C-46C7-AE32-61FEEB6E715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O182" authorId="308" shapeId="0" xr:uid="{54833685-091F-4E1E-B9BA-168EBB7FB9A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T182" authorId="309" shapeId="0" xr:uid="{40651045-615A-404B-A222-ABD37A48F216}">
      <text>
        <t>[Threaded comment]
Your version of Excel allows you to read this threaded comment; however, any edits to it will get removed if the file is opened in a newer version of Excel. Learn more: https://go.microsoft.com/fwlink/?linkid=870924
Comment:
    EU industrial electricity price (EU avg H2-2024 ≈ €0.1899 / kWh) 
= Electricity price ($or€ per kWh​) / COP
(air, COP = 3.3)
(water, COP = 5)</t>
      </text>
    </comment>
    <comment ref="U182" authorId="310" shapeId="0" xr:uid="{371FD09C-27A7-4BC5-BFA8-FF6EA4BCBE17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 chiller</t>
      </text>
    </comment>
    <comment ref="V182" authorId="311" shapeId="0" xr:uid="{441413E1-75B8-4B66-A3A0-F47DD3DEB149}">
      <text>
        <t>[Threaded comment]
Your version of Excel allows you to read this threaded comment; however, any edits to it will get removed if the file is opened in a newer version of Excel. Learn more: https://go.microsoft.com/fwlink/?linkid=870924
Comment:
    [202]  the OPEX_fix are 3% Capex 
Udm: k€/MW_th*y</t>
      </text>
    </comment>
    <comment ref="C183" authorId="312" shapeId="0" xr:uid="{9AAA5D1F-5EBB-478F-859B-2F306F454015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N183" authorId="313" shapeId="0" xr:uid="{D0CE8124-CE52-4FE4-86FE-6E4134DD329B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$/kW_dc</t>
      </text>
    </comment>
    <comment ref="C189" authorId="314" shapeId="0" xr:uid="{26557A94-603D-450D-A420-3346593CB121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kW_el</t>
      </text>
    </comment>
    <comment ref="N189" authorId="315" shapeId="0" xr:uid="{FF1D4A1B-AF1C-4DC0-A473-63F90173E80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</t>
      </text>
    </comment>
    <comment ref="O189" authorId="316" shapeId="0" xr:uid="{88AA5CFF-61E6-4926-8BCC-53E19986381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</t>
      </text>
    </comment>
    <comment ref="C195" authorId="317" shapeId="0" xr:uid="{C04EA162-5267-4566-991A-0D106FB5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kW_th</t>
      </text>
    </comment>
    <comment ref="K195" authorId="318" shapeId="0" xr:uid="{5E3904CA-3ABA-437A-80DF-366A5E6911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195" authorId="319" shapeId="0" xr:uid="{A6A26A8B-FA0A-4BE1-B45A-0E65FDF395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N195" authorId="320" shapeId="0" xr:uid="{818B18B5-81E5-4944-8DC1-4595F29E9B6E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O195" authorId="321" shapeId="0" xr:uid="{8E8516D4-6064-449F-8E30-4B1446FBFBC2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€/kW_th</t>
      </text>
    </comment>
    <comment ref="V195" authorId="322" shapeId="0" xr:uid="{B6197A90-2A26-44FD-B14A-14E99BAA127F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k€/(MW_th*y)
3.5% Capex</t>
      </text>
    </comment>
    <comment ref="K196" authorId="323" shapeId="0" xr:uid="{1109F453-F631-41C1-84F4-D649ED3819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196" authorId="324" shapeId="0" xr:uid="{81B35DEF-89D9-4CD1-8344-3B8B4C5AFC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197" authorId="325" shapeId="0" xr:uid="{E93940A0-CE7F-428C-A75A-AA5178D4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197" authorId="326" shapeId="0" xr:uid="{2A30E100-DA7A-4B71-B15A-2F06D4E7D2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198" authorId="327" shapeId="0" xr:uid="{155EB7BE-AC50-4B1F-A688-4D1552CD79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198" authorId="328" shapeId="0" xr:uid="{8B05B76E-C936-4EFA-9208-6C8A20BC8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199" authorId="329" shapeId="0" xr:uid="{04893DF8-045F-4F41-84DB-6AF05A119D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199" authorId="330" shapeId="0" xr:uid="{0DE8730B-5910-4625-A6D7-8FBE8203797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200" authorId="331" shapeId="0" xr:uid="{4E703D3B-6B2D-4D61-B84C-95B3D8A7D61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200" authorId="332" shapeId="0" xr:uid="{94149068-B36A-49AA-BE59-B3C0F0A0B8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201" authorId="333" shapeId="0" xr:uid="{7955F2E6-D71F-4248-96DC-5C50A4B9BF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201" authorId="334" shapeId="0" xr:uid="{69E49BF8-4E3D-4B44-9CFA-4CF66B09E2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202" authorId="335" shapeId="0" xr:uid="{8CD18221-EE2A-48C9-B53A-B5B66AD53F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202" authorId="336" shapeId="0" xr:uid="{FF4C9935-32A0-4CC7-B369-6CD364D13B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203" authorId="337" shapeId="0" xr:uid="{E66A2AF1-746B-40D2-98D5-98BA018544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203" authorId="338" shapeId="0" xr:uid="{0E590184-4A73-489A-B222-43832AB8F8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204" authorId="339" shapeId="0" xr:uid="{F2209157-22F3-4D31-8244-8083206491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204" authorId="340" shapeId="0" xr:uid="{79EA48AA-1E79-4009-AE2B-D2DC6DEA9B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K205" authorId="341" shapeId="0" xr:uid="{68A6779E-6F37-4C21-82FD-09D44A7B6D1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L205" authorId="342" shapeId="0" xr:uid="{86AA9885-75D0-4781-BF1B-C005863812F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>
      </text>
    </comment>
    <comment ref="N207" authorId="343" shapeId="0" xr:uid="{A73D1914-5346-47A4-AB59-EA9ACF158D0A}">
      <text>
        <t>[Threaded comment]
Your version of Excel allows you to read this threaded comment; however, any edits to it will get removed if the file is opened in a newer version of Excel. Learn more: https://go.microsoft.com/fwlink/?linkid=870924
Comment:
    UDM: $/kW</t>
      </text>
    </comment>
    <comment ref="T207" authorId="344" shapeId="0" xr:uid="{9C26B832-57EE-49DB-A82F-A41061909152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08" authorId="345" shapeId="0" xr:uid="{8A475829-732A-416A-948B-BE5A2332EA55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09" authorId="346" shapeId="0" xr:uid="{99DFE2A9-BC1E-48B4-8723-48A882ABBAAF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0" authorId="347" shapeId="0" xr:uid="{76EB5FFB-0BEB-40AA-8D2C-67926F330B7D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1" authorId="348" shapeId="0" xr:uid="{6D6E8F8E-790A-4966-8FD0-644DA94CE5D9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2" authorId="349" shapeId="0" xr:uid="{F3ED8D56-6C96-43EB-9722-D537E2557850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3" authorId="350" shapeId="0" xr:uid="{C2695944-3625-4897-8BB1-2053D8C355D5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4" authorId="351" shapeId="0" xr:uid="{BAA01088-D221-4B4F-90B7-E864B0104B9A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5" authorId="352" shapeId="0" xr:uid="{EA4FF635-C160-4275-858B-2ADEB981DCB9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6" authorId="353" shapeId="0" xr:uid="{5A6CE5A6-7A86-4DEA-B0D3-7D87D6303390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7" authorId="354" shapeId="0" xr:uid="{5849B4AC-185C-4B87-ACF6-0E69CDD461BE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T218" authorId="355" shapeId="0" xr:uid="{EEE53795-E0E9-4AE4-86C7-7A3ACFB6368E}">
      <text>
        <t>[Threaded comment]
Your version of Excel allows you to read this threaded comment; however, any edits to it will get removed if the file is opened in a newer version of Excel. Learn more: https://go.microsoft.com/fwlink/?linkid=870924
Comment:
    0.000513 k$/MWh (variable)
0.005 k$/MWh (RTE losses)</t>
      </text>
    </comment>
    <comment ref="P222" authorId="356" shapeId="0" xr:uid="{4981C360-2825-4AC6-B619-3DF046B00DD9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Simile ai 500 $/kg_H2 presentato in “Optimal design of fully renewable and dispatchable power plants with hydrogen seasonal storage” a cui ha lavorato il Professore.
La fonte è la stessa ma 500 corrisponde al report del 2015, mentre 403 corrisponde al report del 2023-24.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tc={F1D7B8C3-ACD1-4FE8-9959-F7D0BADE109B}</author>
    <author>tc={38322B33-C581-4582-AD5C-61F49A5A8544}</author>
    <author>tc={495CE0BC-2D48-4299-AB0F-AD292A8C302D}</author>
  </authors>
  <commentList>
    <comment ref="E40" authorId="0" shapeId="0" xr:uid="{F1D7B8C3-ACD1-4FE8-9959-F7D0BADE109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Pellet: 282 €/ton -&gt; (LHV = 5 kWh/kg) -&gt; 0.282 €/kg /LHV -&gt;
Cost of pellet = 0.0564 €/kWh</t>
      </text>
    </comment>
    <comment ref="E45" authorId="1" shapeId="0" xr:uid="{38322B33-C581-4582-AD5C-61F49A5A854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Wood chips: 9.4 €/GJ -&gt; (1 GJ = 277.78 kWh) -&gt; 0.0338 €/kWh</t>
      </text>
    </comment>
    <comment ref="E53" authorId="2" shapeId="0" xr:uid="{495CE0BC-2D48-4299-AB0F-AD292A8C302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Pellet: 282 €/ton -&gt; (LHV = 5 kWh/kg) -&gt; 0.282 €/kg /LHV -&gt;
Cost of pellet = 0.0564 €/kWh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tc={D9B3A655-890E-4D97-8E84-D90B389FCE04}</author>
  </authors>
  <commentList>
    <comment ref="A122" authorId="0" shapeId="0" xr:uid="{D9B3A655-890E-4D97-8E84-D90B389FCE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Molto dettagliato in divisione costi per categoria</t>
      </text>
    </comment>
  </commentList>
</comments>
</file>

<file path=xl/sharedStrings.xml><?xml version="1.0" encoding="utf-8"?>
<sst xmlns="http://schemas.openxmlformats.org/spreadsheetml/2006/main" count="6022" uniqueCount="1912">
  <si>
    <t>Energy conversion Technology</t>
  </si>
  <si>
    <t>size range [kW_th or kW_el]</t>
  </si>
  <si>
    <t>size effects, k3</t>
  </si>
  <si>
    <t>refs for maps</t>
  </si>
  <si>
    <t>hot ramp-up [%/min]</t>
  </si>
  <si>
    <t>hot ramp-down [%/min]</t>
  </si>
  <si>
    <t>ref  for ramps</t>
  </si>
  <si>
    <t>start-up time [h]</t>
  </si>
  <si>
    <t>shut-down time [h]</t>
  </si>
  <si>
    <t>ref.s for start-up e shut down</t>
  </si>
  <si>
    <t>CAPEX [€/kW_el] or [€/kW_th]</t>
  </si>
  <si>
    <t>ref for CAPEX</t>
  </si>
  <si>
    <t>tipo fuel</t>
  </si>
  <si>
    <t>lifetime [years]</t>
  </si>
  <si>
    <t>ref lifetime</t>
  </si>
  <si>
    <t>start-up cost [keuro/start-up MW]</t>
  </si>
  <si>
    <t>ref. for O&amp;M costs</t>
  </si>
  <si>
    <t>eff_el or COP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</si>
  <si>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0.38558
k2: -0.22493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0.57292
k2: 0.22386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</si>
  <si>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-0.74004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-0.0.075247</t>
    </r>
  </si>
  <si>
    <t>in 
Normalized Maps 
excel file</t>
  </si>
  <si>
    <t>[98], [50], [99]</t>
  </si>
  <si>
    <t xml:space="preserve">5 min (hot start)
10 min (warm start)
15 min </t>
  </si>
  <si>
    <t>2 min</t>
  </si>
  <si>
    <t>start [43], shut [43]</t>
  </si>
  <si>
    <t>[11]</t>
  </si>
  <si>
    <t>NG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</si>
  <si>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0.44648
k2: -0.0058041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0.41900
k2: -0.045625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</si>
  <si>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-26.006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37.289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</si>
  <si>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0.46836
k2: -0.074289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0.40750
k2: 0.042157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</si>
  <si>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-32.534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62.272</t>
    </r>
  </si>
  <si>
    <t>ICE CHP</t>
  </si>
  <si>
    <t>2 - 100 kW_el</t>
  </si>
  <si>
    <t>ref. eff_el or COP</t>
  </si>
  <si>
    <t>obtained from values in 
Normalized Maps 
excel file</t>
  </si>
  <si>
    <t>100 - 300 kW_el</t>
  </si>
  <si>
    <t>300 - 10000 kW_el</t>
  </si>
  <si>
    <t>Related to INPUT</t>
  </si>
  <si>
    <t>(size) / 35%</t>
  </si>
  <si>
    <t>(size) / 30%</t>
  </si>
  <si>
    <t>(size) / 40%</t>
  </si>
  <si>
    <t>normalized maps</t>
  </si>
  <si>
    <t>SOFC CHP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</si>
  <si>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0.78529
k2: -0.48514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0.11471
k2: 0.48514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</si>
  <si>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0.17290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-0.17290</t>
    </r>
  </si>
  <si>
    <t xml:space="preserve">in 
Normalized Maps 
excel file
</t>
  </si>
  <si>
    <t>2%/min
(possible range: 0.5-4 %/min)</t>
  </si>
  <si>
    <t>15 min (hot)
12-24h (cold)</t>
  </si>
  <si>
    <t>large: 4-8 h (controlled)
micro: &lt;1h (rapid-controlled, preserving hot box)</t>
  </si>
  <si>
    <t>start [40], shut [93]
start [92], shut [94]</t>
  </si>
  <si>
    <t>NG, Biogas, 
H2, Syngas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</si>
  <si>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0.79581
k2: -0.62223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0.10419
k2: 0.62223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</si>
  <si>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41.186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-41.186</t>
    </r>
  </si>
  <si>
    <t>y = 18729.721 * x^(-0.401)</t>
  </si>
  <si>
    <t>Correlazione</t>
  </si>
  <si>
    <t>Note</t>
  </si>
  <si>
    <t xml:space="preserve">ICE CHP </t>
  </si>
  <si>
    <t>y = CAPEX specifico (€/kW_el), x=taglia (kW_el)</t>
  </si>
  <si>
    <t>y = 21292.176 * x^(-0.224)</t>
  </si>
  <si>
    <t>PEMFC CHP</t>
  </si>
  <si>
    <t>y = 18263.477 * x^(-0.205)</t>
  </si>
  <si>
    <t>y = 4634.174 * x^(-0.541)</t>
  </si>
  <si>
    <t>y = CAPEX specifico (€/kW_th), x=taglia (kW_th)</t>
  </si>
  <si>
    <t>y = 113.393 * x^(-0.280)</t>
  </si>
  <si>
    <t xml:space="preserve"> y = 4036.605 * x^(-0.182)</t>
  </si>
  <si>
    <t>y = 71318.451 * x^(-0.455)</t>
  </si>
  <si>
    <t>y = 6583.713 * x^(-0.257)</t>
  </si>
  <si>
    <t>y = 8428.941 * x^(-0.249)</t>
  </si>
  <si>
    <t>y = 7148.334 * x^(-0.244)</t>
  </si>
  <si>
    <t xml:space="preserve">Alkaline electrolyzer </t>
  </si>
  <si>
    <t>valore fisso in €/kW</t>
  </si>
  <si>
    <t>\</t>
  </si>
  <si>
    <t xml:space="preserve">PEM electrolyzer </t>
  </si>
  <si>
    <t>y = 2554.662 * x^(-0.372)</t>
  </si>
  <si>
    <t>y = 2932.798 * x^(-0.494)</t>
  </si>
  <si>
    <t xml:space="preserve">Biomass ORC </t>
  </si>
  <si>
    <t>y = 6011.595 * x^(-0.601)</t>
  </si>
  <si>
    <t>absorption chiller large (heat source: hot water)</t>
  </si>
  <si>
    <t>absorption chiller large (heat source: steam high pr.)</t>
  </si>
  <si>
    <t>y = 4122.933 * x^(-0.223)</t>
  </si>
  <si>
    <t>compression chiller</t>
  </si>
  <si>
    <t xml:space="preserve">PV monocristallini </t>
  </si>
  <si>
    <t>y = 5142.023 * x^(-0.162)</t>
  </si>
  <si>
    <t>Wind Turbine Utility (Hor. Axis)</t>
  </si>
  <si>
    <t>y = 2285.007 * x^(-0.101)</t>
  </si>
  <si>
    <t>Wind Turbine Distributed  (Hor. Axis)</t>
  </si>
  <si>
    <t>y = 13709.991 * x^(-0.211)</t>
  </si>
  <si>
    <t>Solar thermal hot water (roof system)</t>
  </si>
  <si>
    <t>y = 3765.421 * x^(-0.320)</t>
  </si>
  <si>
    <t>Solar thermal hot water (open-air systems)</t>
  </si>
  <si>
    <t>y = 861.516 * x^(-0.079)</t>
  </si>
  <si>
    <t>Solar thermal hot water (general)</t>
  </si>
  <si>
    <t>y = 2748.712 * x^(-0.227)</t>
  </si>
  <si>
    <t>CST (concentrated solar thermal) parabolico</t>
  </si>
  <si>
    <t>BESS (Crate = 1/4)</t>
  </si>
  <si>
    <t>y = 5177.631 * x^(-0.092)</t>
  </si>
  <si>
    <t>TES stratificato</t>
  </si>
  <si>
    <t>valore fisso in €/kWh</t>
  </si>
  <si>
    <t>H2 storage tank - Station/vehicle scale</t>
  </si>
  <si>
    <t>valore fisso in €/kg</t>
  </si>
  <si>
    <t>H2 storage cavern</t>
  </si>
  <si>
    <t xml:space="preserve">Wood Chip Boiler </t>
  </si>
  <si>
    <t xml:space="preserve">Pellet Boiler </t>
  </si>
  <si>
    <t>correlation obtained from real data (sheet FISSE)</t>
  </si>
  <si>
    <t>= CAPEX * 3%</t>
  </si>
  <si>
    <t>CAPEX_in * 3%</t>
  </si>
  <si>
    <t>CAPEX_in * 2.75%</t>
  </si>
  <si>
    <t>CAPEX_in * 1.5%</t>
  </si>
  <si>
    <t>CAPEX_in [€/kW_INPUT]</t>
  </si>
  <si>
    <t>O&amp;M_var [keuro/MWh] including replacement</t>
  </si>
  <si>
    <t>O&amp;M_var [keuro/MWh]</t>
  </si>
  <si>
    <t>= CAPEX * 2.75%</t>
  </si>
  <si>
    <t>O&amp;M_fix_in [keuro/(anno*MW_input)]</t>
  </si>
  <si>
    <t>O&amp;M_var_in [keuro/MWh_input] including replacement</t>
  </si>
  <si>
    <t>O&amp;M_var_in [keuro/MWh_input]</t>
  </si>
  <si>
    <t>O&amp;M_fix [keuro/(anno*MW_el)] or [keuro/(anno*MW_th)]</t>
  </si>
  <si>
    <t xml:space="preserve">= 0.033 + CAPEX_in * (44% / (8760 * 80% * 15)) </t>
  </si>
  <si>
    <t>start-up cost_in [keuro/start-up MW_input]</t>
  </si>
  <si>
    <t>size_input [kW_input]</t>
  </si>
  <si>
    <t>1.5 - 50 kW_el</t>
  </si>
  <si>
    <t>(size) / 55%</t>
  </si>
  <si>
    <t>= CAPEX * 1.5%</t>
  </si>
  <si>
    <t>= CAPEX * 3.6%</t>
  </si>
  <si>
    <t>= CAPEX_in * 3.6%</t>
  </si>
  <si>
    <t xml:space="preserve">= 0.111 + CAPEX * (44% / (8760 * 80% * 15)) </t>
  </si>
  <si>
    <t xml:space="preserve">= 0.095 + CAPEX * (44% / (8760 * 80% * 15)) </t>
  </si>
  <si>
    <t xml:space="preserve">= 0.083 + CAPEX * (44% / (8760 * 80% * 15)) </t>
  </si>
  <si>
    <t xml:space="preserve">= 0.033 + CAPEX_in * (34% / (8760 * 90% * 15)) </t>
  </si>
  <si>
    <t xml:space="preserve">PEM FC CHP 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</si>
  <si>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0.42666
k2: 0.057255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0.47334
k2: -0.057255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</si>
  <si>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-0.32751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0.32751</t>
    </r>
  </si>
  <si>
    <t>480
857
&gt;&gt;100</t>
  </si>
  <si>
    <t>0.5 min (warm)
5 min (cold)</t>
  </si>
  <si>
    <t>13.5 s (optimized)
5-15 min</t>
  </si>
  <si>
    <t>H2</t>
  </si>
  <si>
    <t>20 y (technical life) 
40000-50000 h (stack)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</si>
  <si>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0.44471
k2: 0.035828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0.45529
k2: -0.035828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</si>
  <si>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-1.2790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1.2790</t>
    </r>
  </si>
  <si>
    <t>1 min (warm)
30 s (starting -20°C)
82 s (starting -30°C)
100 s (starting -40°C)</t>
  </si>
  <si>
    <t>start [40], shut [96]
start [95], shut [97]</t>
  </si>
  <si>
    <t>5 - 120 kW_el</t>
  </si>
  <si>
    <t>(size) / 45%</t>
  </si>
  <si>
    <t>20 y (technical life)
60000 h (stack)
40000-80000 h (stack)</t>
  </si>
  <si>
    <t xml:space="preserve">= O&amp;M_var + CAPEX * (79% / (8760 * 92% * 20)) </t>
  </si>
  <si>
    <t xml:space="preserve">= 0.061 + CAPEX * (34% / (8760 * 90% * 20)) </t>
  </si>
  <si>
    <t>= CAPEX * 5%</t>
  </si>
  <si>
    <t>= (0.5/60) * O&amp;M_var + O&amp;M_fix * (0.35/80)</t>
  </si>
  <si>
    <t xml:space="preserve">
for reference, if calculated:
0.2930 (if H2 bought)
0 (if H2 not bought)</t>
  </si>
  <si>
    <t xml:space="preserve">
for reference, if calculated:
0.2930 (if H2 bought)
0 (if H2 not bought) </t>
  </si>
  <si>
    <t xml:space="preserve">= O&amp;M_var_in + CAPEX_in * (79% / (8760 * 92% * 20)) </t>
  </si>
  <si>
    <t>= CAPEX_in * 5%</t>
  </si>
  <si>
    <t>= (0.5/60) * O&amp;M_var_in + O&amp;M_fix_in * (0.35/80)</t>
  </si>
  <si>
    <t>4-6%/min</t>
  </si>
  <si>
    <t>[52]</t>
  </si>
  <si>
    <t>var [calc],fix [11], start [calc]</t>
  </si>
  <si>
    <t>&lt;= 60 min (hot start)
&lt;= 180 min (warm start)</t>
  </si>
  <si>
    <t>30-90 min</t>
  </si>
  <si>
    <t>NG boiler condensing</t>
  </si>
  <si>
    <t>NG boiler non-condensing</t>
  </si>
  <si>
    <t>10 - 100 kW_th</t>
  </si>
  <si>
    <t>100 - 500 kW_th</t>
  </si>
  <si>
    <t>500 - 30000 kW_th</t>
  </si>
  <si>
    <t>(size) / 105%</t>
  </si>
  <si>
    <t>(size) / 93%</t>
  </si>
  <si>
    <t>0.5-30 min</t>
  </si>
  <si>
    <t>3-30 min</t>
  </si>
  <si>
    <r>
      <rPr>
        <b/>
        <sz val="11"/>
        <color theme="1"/>
        <rFont val="Calibri"/>
        <family val="2"/>
        <scheme val="minor"/>
      </rPr>
      <t>Condensing</t>
    </r>
    <r>
      <rPr>
        <sz val="11"/>
        <color theme="1"/>
        <rFont val="Calibri"/>
        <family val="2"/>
        <scheme val="minor"/>
      </rPr>
      <t xml:space="preserve">
k1: 0.95808
k2: 0.021478</t>
    </r>
  </si>
  <si>
    <r>
      <rPr>
        <b/>
        <sz val="11"/>
        <color theme="1"/>
        <rFont val="Calibri"/>
        <family val="2"/>
        <scheme val="minor"/>
      </rPr>
      <t>Condensing</t>
    </r>
    <r>
      <rPr>
        <sz val="11"/>
        <color theme="1"/>
        <rFont val="Calibri"/>
        <family val="2"/>
        <scheme val="minor"/>
      </rPr>
      <t xml:space="preserve">
k3: -0.074214</t>
    </r>
  </si>
  <si>
    <r>
      <rPr>
        <b/>
        <sz val="11"/>
        <color theme="1"/>
        <rFont val="Calibri"/>
        <family val="2"/>
        <scheme val="minor"/>
      </rPr>
      <t>Condensing</t>
    </r>
    <r>
      <rPr>
        <sz val="11"/>
        <color theme="1"/>
        <rFont val="Calibri"/>
        <family val="2"/>
        <scheme val="minor"/>
      </rPr>
      <t xml:space="preserve">
k1: 1.0383
k2: 0.015566</t>
    </r>
  </si>
  <si>
    <r>
      <rPr>
        <b/>
        <sz val="11"/>
        <color theme="1"/>
        <rFont val="Calibri"/>
        <family val="2"/>
        <scheme val="minor"/>
      </rPr>
      <t>Condensing</t>
    </r>
    <r>
      <rPr>
        <sz val="11"/>
        <color theme="1"/>
        <rFont val="Calibri"/>
        <family val="2"/>
        <scheme val="minor"/>
      </rPr>
      <t xml:space="preserve">
k3: -1.2476</t>
    </r>
  </si>
  <si>
    <r>
      <rPr>
        <b/>
        <sz val="11"/>
        <color theme="1"/>
        <rFont val="Calibri"/>
        <family val="2"/>
        <scheme val="minor"/>
      </rPr>
      <t>Non-condensing</t>
    </r>
    <r>
      <rPr>
        <sz val="11"/>
        <color theme="1"/>
        <rFont val="Calibri"/>
        <family val="2"/>
        <scheme val="minor"/>
      </rPr>
      <t xml:space="preserve">
k1: 0.94251
k2: 0.0067205</t>
    </r>
  </si>
  <si>
    <r>
      <rPr>
        <b/>
        <sz val="11"/>
        <color theme="1"/>
        <rFont val="Calibri"/>
        <family val="2"/>
        <scheme val="minor"/>
      </rPr>
      <t>Non-Condensing</t>
    </r>
    <r>
      <rPr>
        <sz val="11"/>
        <color theme="1"/>
        <rFont val="Calibri"/>
        <family val="2"/>
        <scheme val="minor"/>
      </rPr>
      <t xml:space="preserve">
k3: -27.839</t>
    </r>
  </si>
  <si>
    <t>(size) / 98%</t>
  </si>
  <si>
    <t>0.651 (if H2 bought)
0 (if H2 not bought)</t>
  </si>
  <si>
    <t xml:space="preserve">
0.651 (if H2 bought)
0 (if H2 not bought)</t>
  </si>
  <si>
    <t xml:space="preserve">= 0.0340 + CAPEX * (21% / (8760 * 23% * 20)) </t>
  </si>
  <si>
    <t xml:space="preserve">= 0.0358 + CAPEX * (21% / (8760 * 90% * 25)) </t>
  </si>
  <si>
    <t xml:space="preserve">= 0.033 + CAPEX_in * (21% / (8760 * 23% * 20)) </t>
  </si>
  <si>
    <t xml:space="preserve">= 0.033 + CAPEX_in * (21% / (8760 * 90% * 25)) </t>
  </si>
  <si>
    <t xml:space="preserve">= 0.033 + CAPEX_in * (21% / (8760 * 90% * 20)) </t>
  </si>
  <si>
    <t xml:space="preserve">= 0.0317 + CAPEX * (21% / (8760 * 90% * 20)) </t>
  </si>
  <si>
    <t>= CAPEX_in * 3%</t>
  </si>
  <si>
    <t xml:space="preserve">
var [117], fix [117], start [calc]</t>
  </si>
  <si>
    <t xml:space="preserve">
var [11], fix [11], start [calc]</t>
  </si>
  <si>
    <t>k1: 2.7572
k2: 0.19056</t>
  </si>
  <si>
    <t>k3: -0.091051</t>
  </si>
  <si>
    <t xml:space="preserve">3-5min </t>
  </si>
  <si>
    <t xml:space="preserve">4 min </t>
  </si>
  <si>
    <t>Electricity</t>
  </si>
  <si>
    <t>var [calc] data from [122][130],fix [11]</t>
  </si>
  <si>
    <t>k1: 2.8606
k2: 0.044493</t>
  </si>
  <si>
    <t>k3: 1.1325</t>
  </si>
  <si>
    <t>k1: 3.0868
k2: 0.088516</t>
  </si>
  <si>
    <t>k3: -7.8201</t>
  </si>
  <si>
    <t>k1: 2.9178
k2: 0.13240</t>
  </si>
  <si>
    <t>k3: 9.9084</t>
  </si>
  <si>
    <t>(size) / 3.26</t>
  </si>
  <si>
    <t>5 - 50 kW_th</t>
  </si>
  <si>
    <t>50 - 100 kW_th</t>
  </si>
  <si>
    <t>100 - 300 kW_th</t>
  </si>
  <si>
    <t>300 - 20000 kW_th</t>
  </si>
  <si>
    <t>0.05825 (industrial)
0.08810 (residential)</t>
  </si>
  <si>
    <t xml:space="preserve">= O&amp;M_var + CAPEX * (51% / (8760 * 80% * 20)) </t>
  </si>
  <si>
    <t>= (4/60) * O&amp;M_var + O&amp;M_fix * (0.25/35)</t>
  </si>
  <si>
    <t>= 0.1899 (industrial)
= 0.2872 (residential)</t>
  </si>
  <si>
    <t xml:space="preserve">= O&amp;M_var_in + CAPEX_in * (51% / (8760 * 80% * 20)) </t>
  </si>
  <si>
    <t>= (4/60) * O&amp;M_var_in + O&amp;M_fix_in * (0.25/35)</t>
  </si>
  <si>
    <t>k1: 4.4067
k2: 0.046854</t>
  </si>
  <si>
    <t>k3: 2.6724</t>
  </si>
  <si>
    <t>1000 - 50000 kW_th</t>
  </si>
  <si>
    <t>(size) / 4.60</t>
  </si>
  <si>
    <t>= CAPEX * 2.5%</t>
  </si>
  <si>
    <t>= CAPEX * 2.5% (min. 350 €)</t>
  </si>
  <si>
    <t>= (4/60) / 4.60 * 0.1899 + O&amp;M_fix * (0.25/35)</t>
  </si>
  <si>
    <t xml:space="preserve">= 0.04128 + CAPEX * (47% / (8760 * 97% * 20)) </t>
  </si>
  <si>
    <t xml:space="preserve">= 0.1899 + CAPEX_in * (47% / (8760 * 97% * 20)) </t>
  </si>
  <si>
    <t>= CAPEX_in * 2.5%</t>
  </si>
  <si>
    <t>= CAPEX_in * 2.5% (min. 350 €)</t>
  </si>
  <si>
    <t>= (4/60) * 0.1899 + O&amp;M_fix_in * (0.25/35)</t>
  </si>
  <si>
    <t>k1: 4.2210
k2: 0.065735</t>
  </si>
  <si>
    <t>k3: -2.2991</t>
  </si>
  <si>
    <t>20 Heat pump
50 heat source system</t>
  </si>
  <si>
    <t>var [calc] data from [122][131],fix [11]</t>
  </si>
  <si>
    <t>k1: 4.2195
k2: 0.029248</t>
  </si>
  <si>
    <t>k3: 4.1744</t>
  </si>
  <si>
    <t>(size) / 4.30</t>
  </si>
  <si>
    <t>500 - 1000 kW_th</t>
  </si>
  <si>
    <t>5 - 100 kW_th</t>
  </si>
  <si>
    <t>0.04416 (industrial)
0.06679 (residential)</t>
  </si>
  <si>
    <t xml:space="preserve">= O&amp;M_var + CAPEX * (47% / (8760 * 80% * 20)) </t>
  </si>
  <si>
    <t xml:space="preserve">= O&amp;M_var + CAPEX * (47% / (8760 * 37% * 20)) </t>
  </si>
  <si>
    <t xml:space="preserve">= O&amp;M_var_in + CAPEX_in * (47% / (8760 * 37% * 20)) </t>
  </si>
  <si>
    <t xml:space="preserve">= O&amp;M_var_in + CAPEX_in * (47% / (8760 * 80% * 20)) </t>
  </si>
  <si>
    <t>= CAPEX * 1.5% (min. 350 €)</t>
  </si>
  <si>
    <t>= CAPEX_in * 1.5% (min. 350 €)</t>
  </si>
  <si>
    <t>= CAPEX_in * 1.5%</t>
  </si>
  <si>
    <t>300%/min</t>
  </si>
  <si>
    <t>1 min (warm)
60 min (cold)
1-5 min (warm)
5-15 min (cold)</t>
  </si>
  <si>
    <t>30-60 min</t>
  </si>
  <si>
    <t>80000 h
25 y (technical life)</t>
  </si>
  <si>
    <t>600%/min</t>
  </si>
  <si>
    <t>30 s (warm)
5 min (cold)</t>
  </si>
  <si>
    <t>855 s</t>
  </si>
  <si>
    <t>40000 h
25 y (technical life)</t>
  </si>
  <si>
    <t xml:space="preserve">Alkaline electrolyzer (large) </t>
  </si>
  <si>
    <t>PEM electrolyzer (large)</t>
  </si>
  <si>
    <t>1-5 MW_el</t>
  </si>
  <si>
    <t>1-20 MW_el</t>
  </si>
  <si>
    <t>(size_input) / 65%</t>
  </si>
  <si>
    <t>(size_input) / 61%</t>
  </si>
  <si>
    <t>= CAPEX_in / 65%</t>
  </si>
  <si>
    <t>= CAPEX_in / 61%</t>
  </si>
  <si>
    <t xml:space="preserve">= 0.1899 + CAPEX_in * (81% / (8760 * 90% * 25)) </t>
  </si>
  <si>
    <t xml:space="preserve">= 0.1899 + CAPEX_in * (159% / (8760 * 80% * 25)) </t>
  </si>
  <si>
    <t>= CAPEX_in * 3.0%</t>
  </si>
  <si>
    <t>= (2.5/60) * 0.1899 + O&amp;M_fix_in * (0.55/168)</t>
  </si>
  <si>
    <t>= (0.5/60) * 0.1899 + O&amp;M_fix_in * (0.65/168)</t>
  </si>
  <si>
    <t>= CAPEX * 3.0%</t>
  </si>
  <si>
    <t xml:space="preserve">= 0.2922 + CAPEX * (81% / (8760 * 90% * 25)) </t>
  </si>
  <si>
    <t xml:space="preserve">= 0.3113 + CAPEX * (159% / (8760 * 80% * 25)) </t>
  </si>
  <si>
    <t>= (2.5/60) / 65% * 0.1899 + O&amp;M_fix_in * (0.55/168)</t>
  </si>
  <si>
    <t>= (0.5/60) / 61% * 0.1899 + O&amp;M_fix_in * (0.65/168)</t>
  </si>
  <si>
    <t>k1: 0.95532
k2: 0.00087501</t>
  </si>
  <si>
    <t>k3: -0.22586</t>
  </si>
  <si>
    <t>3-6</t>
  </si>
  <si>
    <t xml:space="preserve">
[52][53]</t>
  </si>
  <si>
    <t xml:space="preserve">10-30 min </t>
  </si>
  <si>
    <t>5-30 min</t>
  </si>
  <si>
    <t>[45]</t>
  </si>
  <si>
    <t>[44], %install [11]</t>
  </si>
  <si>
    <t>var [calc],fix [11]
data on wood chips [84], data on wood chip boilers [112], start [calc]</t>
  </si>
  <si>
    <t>k1: 0.92041
k2: 0.0043780</t>
  </si>
  <si>
    <t>k3: 2.9282</t>
  </si>
  <si>
    <t>10-30 min</t>
  </si>
  <si>
    <t>var [calc],fix [11]
data on wood chips [84], data on wood chip boilers [113], start [calc]</t>
  </si>
  <si>
    <t>20 - 120 kW_th</t>
  </si>
  <si>
    <t>120 - 1500 kW_th</t>
  </si>
  <si>
    <t>(size) / 95%</t>
  </si>
  <si>
    <t>Wood Chips</t>
  </si>
  <si>
    <t xml:space="preserve">= 0.0356 + CAPEX * (38% / (8760 * 29% * 20)) </t>
  </si>
  <si>
    <t xml:space="preserve">= 0.0356 + CAPEX * (38% / (8760 * 78% * 20)) </t>
  </si>
  <si>
    <t>= CAPEX * 6.5%</t>
  </si>
  <si>
    <t>= CAPEX_in * 6.5%</t>
  </si>
  <si>
    <t>= (20/60) / 95% * 0.0338 + O&amp;M_fix * (0.4/64)</t>
  </si>
  <si>
    <t>= (20/60) * 0.0338 + O&amp;M_fix_in * (0.4/64)</t>
  </si>
  <si>
    <t>k1: 0.95221
k2: -0.0075952</t>
  </si>
  <si>
    <t>k3: 0.42724</t>
  </si>
  <si>
    <t>Pellet</t>
  </si>
  <si>
    <t>var [calc],fix [11], 
data on pellet for start [81] [83], data on pellet boilers [114],
start [calc]</t>
  </si>
  <si>
    <t>Wood Chip Boiler (also Pellet compatible)</t>
  </si>
  <si>
    <t>Pellet Boiler</t>
  </si>
  <si>
    <t xml:space="preserve">= 0.0594 + CAPEX * (36% / (8760 * 29% * 20)) </t>
  </si>
  <si>
    <t>= CAPEX * 6.0%</t>
  </si>
  <si>
    <t>= (20/60) / 95% * 0.0564 + O&amp;M_fix * (0.4/64)</t>
  </si>
  <si>
    <t xml:space="preserve">= 0.0338 + CAPEX_in * (38% / (8760 * 29% * 20)) </t>
  </si>
  <si>
    <t xml:space="preserve">= 0.0338 + CAPEX_in * (38% / (8760 * 78% * 20)) </t>
  </si>
  <si>
    <t xml:space="preserve">= 0.0564 + CAPEX_in * (36% / (8760 * 29% * 20)) </t>
  </si>
  <si>
    <t>= CAPEX_in * 6.0%</t>
  </si>
  <si>
    <t>= (20/60) * 0.0564 + O&amp;M_fix_in * (0.4/64)</t>
  </si>
  <si>
    <t>Biomass ORC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</si>
  <si>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0.20263
k2: -0.16919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0.74737
k2: 0.16919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</si>
  <si>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0.018243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-0.018243</t>
    </r>
  </si>
  <si>
    <t>15-30</t>
  </si>
  <si>
    <t>[47]</t>
  </si>
  <si>
    <t>20-30 min (cold)
15 min (hot)</t>
  </si>
  <si>
    <t>15 min</t>
  </si>
  <si>
    <t>[18]</t>
  </si>
  <si>
    <t>Biomass</t>
  </si>
  <si>
    <t>[30]</t>
  </si>
  <si>
    <t>var [calc], fix [18],
data on pellet for start [81] [83], data on  ORC [116],
start [calc]</t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</si>
  <si>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k1: 0.19000
k2: -0.12777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k1: 0.76000
k2: 0.12777</t>
    </r>
  </si>
  <si>
    <r>
      <rPr>
        <b/>
        <sz val="11"/>
        <color rgb="FF00B050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
k3: -0.079123
</t>
    </r>
    <r>
      <rPr>
        <b/>
        <sz val="11"/>
        <color rgb="FFFF0000"/>
        <rFont val="Calibri"/>
        <family val="2"/>
        <scheme val="minor"/>
      </rPr>
      <t>Heat</t>
    </r>
    <r>
      <rPr>
        <sz val="11"/>
        <color theme="1"/>
        <rFont val="Calibri"/>
        <family val="2"/>
        <scheme val="minor"/>
      </rPr>
      <t xml:space="preserve">
k3: 0.079123</t>
    </r>
  </si>
  <si>
    <t>5-10 MW_el</t>
  </si>
  <si>
    <t>(size) / 16.5%</t>
  </si>
  <si>
    <t xml:space="preserve">= 0 + CAPEX * (72% / (8760 * 86% * 20)) </t>
  </si>
  <si>
    <t>= CAPEX * 2.0%</t>
  </si>
  <si>
    <t>= 0 + O&amp;M_fix * (0.4/55.5)</t>
  </si>
  <si>
    <t xml:space="preserve">= 0 + CAPEX_in * (72% / (8760 * 86% * 20)) </t>
  </si>
  <si>
    <t>= CAPEX_in * 2.0%</t>
  </si>
  <si>
    <t>= 0 + O&amp;M_fix_in * (0.4/55.5)</t>
  </si>
  <si>
    <t>Absorption chiller large (heat source: hot water)</t>
  </si>
  <si>
    <t>generale</t>
  </si>
  <si>
    <t>k1: 0.69333
k2: 0.14779</t>
  </si>
  <si>
    <t>k3: -25.606</t>
  </si>
  <si>
    <t>[101]</t>
  </si>
  <si>
    <t xml:space="preserve">
15-30 min </t>
  </si>
  <si>
    <t>6-15 min
5 min minimum</t>
  </si>
  <si>
    <t>[79]</t>
  </si>
  <si>
    <t>Heat</t>
  </si>
  <si>
    <t>[31] [32]</t>
  </si>
  <si>
    <t>var [79], fix [17], start-up [17]</t>
  </si>
  <si>
    <t>Absorption chiller large (heat source: steam high pr.)</t>
  </si>
  <si>
    <t>k1: 1.4891
k2: 0.058476</t>
  </si>
  <si>
    <t>k3: -6.9067</t>
  </si>
  <si>
    <t xml:space="preserve">50 - 10000 kW_th </t>
  </si>
  <si>
    <t>(size) / 0.78</t>
  </si>
  <si>
    <t>(size) / 1.55</t>
  </si>
  <si>
    <t xml:space="preserve">= 0 + CAPEX * (20% / (8760 * 50% * 20)) </t>
  </si>
  <si>
    <t>= 0 + O&amp;M_fix * (0.4/120)</t>
  </si>
  <si>
    <t xml:space="preserve">= 0 + CAPEX_in * (20% / (8760 * 50% * 20)) </t>
  </si>
  <si>
    <t>= 0 + O&amp;M_fix_in * (0.4/120)</t>
  </si>
  <si>
    <t>Compression chiller large</t>
  </si>
  <si>
    <t>1.6-5 %/min</t>
  </si>
  <si>
    <t>3 min (hot&amp;rapid restart)
20–60 min (cold)</t>
  </si>
  <si>
    <t>&lt;= 32 min</t>
  </si>
  <si>
    <t>20-30 (water-cooled)
15-20 (air-cooled)</t>
  </si>
  <si>
    <t>[33]</t>
  </si>
  <si>
    <t xml:space="preserve">
0.0575 (air)
0.0380 (water)</t>
  </si>
  <si>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(&lt;150 kW_th)
k1: 4.5754
k2: 0.11010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(&lt;700 kW_th)
k1: 4.3978
k2: 0.084066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(&gt;700 kW_th)
k1: 5.3496
k2: 0.087474
</t>
    </r>
    <r>
      <rPr>
        <b/>
        <sz val="11"/>
        <color theme="1"/>
        <rFont val="Calibri"/>
        <family val="2"/>
        <scheme val="minor"/>
      </rPr>
      <t>AIR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(&lt;90 kW_th)
k1: 2.6804
k2: 0.12074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(&lt;300 kW_th)
k1: 2.7829
k2: 0.13440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(&gt;300 kW_th)
k1: 2.8853
k2: 0.11563</t>
    </r>
  </si>
  <si>
    <t>(size) / 5</t>
  </si>
  <si>
    <t xml:space="preserve">= O&amp;M_var + CAPEX * (27% / (8760 * 60% * 20)) </t>
  </si>
  <si>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(&lt;150 kW_th)
k3: -1.2121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(&lt;700 kW_th)
k3: 4.8073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(&gt;700 kW_th)
k3: -32.228
</t>
    </r>
    <r>
      <rPr>
        <b/>
        <sz val="11"/>
        <color theme="1"/>
        <rFont val="Calibri"/>
        <family val="2"/>
        <scheme val="minor"/>
      </rPr>
      <t xml:space="preserve">
AIR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(&lt;90 kW_th)
k3: -1.5675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(&lt;300 kW_th)
k3: -3.6326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(&gt;300 kW_th)
k3: 1.9366
</t>
    </r>
  </si>
  <si>
    <t>= (3/60) * O&amp;M_var + O&amp;M_fix * (0.35/80)</t>
  </si>
  <si>
    <t xml:space="preserve">= O&amp;M_var_in + CAPEX_in * (27% / (8760 * 60% * 20)) </t>
  </si>
  <si>
    <t>= (3/60) * O&amp;M_var_in + O&amp;M_fix_in * (0.35/80)</t>
  </si>
  <si>
    <t>PV monocristallini</t>
  </si>
  <si>
    <t>n.a.</t>
  </si>
  <si>
    <t>n.a</t>
  </si>
  <si>
    <t>10%/min 
(authority limit)
70%/min
(no limit)
5.9 %/min</t>
  </si>
  <si>
    <t>10%/min 
(authority limit)
70%/min
(no limit)
4.7%/min</t>
  </si>
  <si>
    <t>[57]
[56]
[104] real case</t>
  </si>
  <si>
    <t>elec. response (&lt;1s)
17 min</t>
  </si>
  <si>
    <t>elec. response (&lt;1s)
21.3 min</t>
  </si>
  <si>
    <t>[5]</t>
  </si>
  <si>
    <t>25 (minimum guaranteed by warranty)</t>
  </si>
  <si>
    <t>[34]</t>
  </si>
  <si>
    <t xml:space="preserve">WIND asse verticale </t>
  </si>
  <si>
    <t>8.85%/min (Spring)
9.03%/min (Summer)
12.79%/min (Fall)
10.44%/min(Winter)
7.7 %/min
2.2-14.72 %/min</t>
  </si>
  <si>
    <t>8.85%/min (Spring)
9.03%/min (Summer)
12.79%/min (Fall)
10.44%/min(Winter)
8.3 %/min
2.2-14.72 %/min</t>
  </si>
  <si>
    <t>[54]
[104]
[55]</t>
  </si>
  <si>
    <t>13 min</t>
  </si>
  <si>
    <t>12 min</t>
  </si>
  <si>
    <t>[104]</t>
  </si>
  <si>
    <t xml:space="preserve">[8] </t>
  </si>
  <si>
    <t>[35] [36]</t>
  </si>
  <si>
    <t xml:space="preserve">WIND asse orizzontale - Utility Scale </t>
  </si>
  <si>
    <t>[108]</t>
  </si>
  <si>
    <t>5 °C/min</t>
  </si>
  <si>
    <t>[58]</t>
  </si>
  <si>
    <t>[29]</t>
  </si>
  <si>
    <t>var[110], fix [11]</t>
  </si>
  <si>
    <t xml:space="preserve">[11] </t>
  </si>
  <si>
    <t>5 °C/min
3.33%/min
5%/min</t>
  </si>
  <si>
    <t>5 °C/min
6.66%/min
5%/min</t>
  </si>
  <si>
    <t>3677 $/kW
7254 $/kW (with storage)
7125 $/kW (with storage)
7221 $/kW (with storage)
161 $/m^2</t>
  </si>
  <si>
    <t>[24]</t>
  </si>
  <si>
    <t>Energy storages</t>
  </si>
  <si>
    <t>1500-3000 %/min
30000%/min
-&gt; Negligible</t>
  </si>
  <si>
    <t xml:space="preserve">[4]
[102]
</t>
  </si>
  <si>
    <t>0.1 s -&gt; Negligible</t>
  </si>
  <si>
    <t>[102]</t>
  </si>
  <si>
    <t>[125] [137]</t>
  </si>
  <si>
    <t>Electricity
(when recharging)</t>
  </si>
  <si>
    <t>[12]</t>
  </si>
  <si>
    <t>var[13], fix [125] [137]</t>
  </si>
  <si>
    <t>3-10 %Pe/min</t>
  </si>
  <si>
    <t>Negligible</t>
  </si>
  <si>
    <t>[14]</t>
  </si>
  <si>
    <t>20-30</t>
  </si>
  <si>
    <t>var [12], fix[12]</t>
  </si>
  <si>
    <t xml:space="preserve">H2 storage tank </t>
  </si>
  <si>
    <t> 5.2 MPa/min
4800 %/min</t>
  </si>
  <si>
    <t>5 s</t>
  </si>
  <si>
    <t>403 $/kg_H2</t>
  </si>
  <si>
    <t>[3]</t>
  </si>
  <si>
    <t>[37]</t>
  </si>
  <si>
    <t>0.6 k$/MW*y</t>
  </si>
  <si>
    <t>var [12][13], fix[13]</t>
  </si>
  <si>
    <t>10 bar/day
4800 %/min</t>
  </si>
  <si>
    <t>38 $/kg_H2
35 €/kg_H2</t>
  </si>
  <si>
    <t>[2]
[40]</t>
  </si>
  <si>
    <t>40-50</t>
  </si>
  <si>
    <t>[39]</t>
  </si>
  <si>
    <t>2.5-100000 kW_el</t>
  </si>
  <si>
    <t xml:space="preserve">= 0 + CAPEX * (18% / (8760 * 18% * 25)) </t>
  </si>
  <si>
    <t>= CAPEX * 1.0%</t>
  </si>
  <si>
    <t>var [107] [110] [119], 
fix [16] [88]</t>
  </si>
  <si>
    <t>var [107] [110] [119], 
fix [7]</t>
  </si>
  <si>
    <t>var [107] [110][119], 
fix [6] (3.3 MW) [119] (50 MW) [119] (200 MW)</t>
  </si>
  <si>
    <t>var [107] [110] [119], 
fix [6] [108]</t>
  </si>
  <si>
    <t>2 - 200 MW_el</t>
  </si>
  <si>
    <t>2.5-1500 kW_el</t>
  </si>
  <si>
    <t>WIND asse orizzontale - Distributed (Single Turbine)</t>
  </si>
  <si>
    <t xml:space="preserve">= 0 + CAPEX * (16% / (8760 * 35% * 25)) </t>
  </si>
  <si>
    <t xml:space="preserve">= 0 + CAPEX * (20.3% / (8760 * 35% * 25)) </t>
  </si>
  <si>
    <t>5 - 140 kW_th</t>
  </si>
  <si>
    <t>140 - 10500 kW_th</t>
  </si>
  <si>
    <t>50 - 250 MW_el</t>
  </si>
  <si>
    <t xml:space="preserve">= 0 + CAPEX * (20.5% / (8760 * 20% * 25)) </t>
  </si>
  <si>
    <t xml:space="preserve">= 0 + CAPEX * (45% / (8760 * 45% * 30)) </t>
  </si>
  <si>
    <t>= CAPEX * 1.2%</t>
  </si>
  <si>
    <t>BESS (C_rate = 1/4)</t>
  </si>
  <si>
    <t xml:space="preserve">= 0 + CAPEX * (70% / (8760 * 16.7% * 13)) </t>
  </si>
  <si>
    <t>10 - 3000 MWh</t>
  </si>
  <si>
    <t>TES stratificato (large)</t>
  </si>
  <si>
    <t>35 €/kWh</t>
  </si>
  <si>
    <t>10 - 10000 kg</t>
  </si>
  <si>
    <t>38 $/kg_H2</t>
  </si>
  <si>
    <t>1000 - 50000 ton</t>
  </si>
  <si>
    <t>Energy technologies with variable sizes</t>
  </si>
  <si>
    <t>O&amp;M var [keuro/MWh]</t>
  </si>
  <si>
    <t>O&amp;M var [keuro/MWh] including replacement</t>
  </si>
  <si>
    <t>O&amp;M fix [keuro/(anno*MW_el)] or [keuro/(anno*MW_th)]</t>
  </si>
  <si>
    <t>NOTES</t>
  </si>
  <si>
    <t>ICE CHP (elettrico)</t>
  </si>
  <si>
    <t>var [11], fix [11], start [calc]</t>
  </si>
  <si>
    <t>[120] (1.5 kW)</t>
  </si>
  <si>
    <t>20 y (technical life)
60000 h
40000-80000 h</t>
  </si>
  <si>
    <t>var [calc], fix [117], start [calc]</t>
  </si>
  <si>
    <t>[40] [51]</t>
  </si>
  <si>
    <t xml:space="preserve">
[51]</t>
  </si>
  <si>
    <t>0.5-2 min</t>
  </si>
  <si>
    <t>&lt;= 3 min</t>
  </si>
  <si>
    <t>correlation from data[11]</t>
  </si>
  <si>
    <t>Alkaline electrolyzer large module</t>
  </si>
  <si>
    <t>PEM electrolyzer large module</t>
  </si>
  <si>
    <t>Wood
Chips</t>
  </si>
  <si>
    <t>var [calc],fix [11], 
data on pellet for start [81] [83], data on pellet boilers [115],
start [calc]</t>
  </si>
  <si>
    <t>0.05238 (air)
0.05095 (water)</t>
  </si>
  <si>
    <t>0.1729 (air)
0.2548 (water)</t>
  </si>
  <si>
    <t>2.5-10</t>
  </si>
  <si>
    <t>50 k€/MW_dc*y (4 kW)
30.4 k$/MW_dc*y (8 kW)</t>
  </si>
  <si>
    <t>var [107] [110] [119], fix [16] [88]</t>
  </si>
  <si>
    <t>10-100</t>
  </si>
  <si>
    <t>26 k$/MW_dc*y (20 kW)</t>
  </si>
  <si>
    <t>var [107] [110][119], fix [16]</t>
  </si>
  <si>
    <t>100-500</t>
  </si>
  <si>
    <t>18.8 k$/MW_dc*y (200 kW_dc)</t>
  </si>
  <si>
    <t>var [107] [110][119], fix [89]</t>
  </si>
  <si>
    <t>500-1000</t>
  </si>
  <si>
    <t>18.8 k$/MW_dc*y</t>
  </si>
  <si>
    <t>1000-5000</t>
  </si>
  <si>
    <t>&gt; 5000</t>
  </si>
  <si>
    <t>1140 $/kW_dc
1313 $/kW_ac 
1755 $/kW_ac + battery</t>
  </si>
  <si>
    <t>[5]
[119] (150 MW)
[119] (150 MW)</t>
  </si>
  <si>
    <t>15.3 k$/MW_ac*y  (150 MW)
32.2 k$/MW_ac*y (+ battery)  (150 MW)</t>
  </si>
  <si>
    <t>var [107] [110][119], fix [119] [119]</t>
  </si>
  <si>
    <t>35 k$/MW_el*y</t>
  </si>
  <si>
    <t>var [107] [110] [119], fix [7]</t>
  </si>
  <si>
    <t>1968 $/kW
1677 $/kW
1265 $/kW</t>
  </si>
  <si>
    <t>[6] (3.3 MW)
[119] (50 MW)
[119] (200 MW)</t>
  </si>
  <si>
    <t>0.00520
0.00444
0.00355</t>
  </si>
  <si>
    <t>43 k$/MW_el*y
35.1 k$/MW_el*y
26.4 k$/MW_el*y</t>
  </si>
  <si>
    <t>var [107] [110][119], fix [6] (3.3 MW) [119] (50 MW) [119] (200 MW)</t>
  </si>
  <si>
    <t>classificazione</t>
  </si>
  <si>
    <t>WIND asse orizzontale - Residential (distributed) 
Single Turbine</t>
  </si>
  <si>
    <t>2.5-20</t>
  </si>
  <si>
    <t>41 k$/MW_el*y
36.2 k$/MW_el*y</t>
  </si>
  <si>
    <t>var [107] [110] [119], fix [6] [108]</t>
  </si>
  <si>
    <t>NREL</t>
  </si>
  <si>
    <t>WIND asse orizzontale - Commercial (distributed)
Single Turbine</t>
  </si>
  <si>
    <t>20-100</t>
  </si>
  <si>
    <t>WIND asse orizzontale - Midsize (distributed)
Single Turbine</t>
  </si>
  <si>
    <t>100-1000</t>
  </si>
  <si>
    <t>WIND asse orizzontale - Large (distributed)
Single Turbine</t>
  </si>
  <si>
    <t>&gt;1000-1500</t>
  </si>
  <si>
    <t xml:space="preserve">
[11] </t>
  </si>
  <si>
    <t xml:space="preserve">included in fixed
estimation:
0.00359 $/MWh </t>
  </si>
  <si>
    <t>no storage:
73.54 k$/MW*y
with storage:
142.5 k$/MW*y</t>
  </si>
  <si>
    <t>Residential Battery Storage 5 kW_dc</t>
  </si>
  <si>
    <t>Crate = 1/4</t>
  </si>
  <si>
    <t>2.5% Capex -&gt; 124.3 k$/MW*y
120 k$/MW*y</t>
  </si>
  <si>
    <t>Crate = 1/2.5</t>
  </si>
  <si>
    <t>2.5% Capex -&gt; 100.1 k$/MW*y 
96 k$/MW*y</t>
  </si>
  <si>
    <t xml:space="preserve">Commercial Battery Storage 100–2,000 kW_dc </t>
  </si>
  <si>
    <t>Crate = 1/8 (600 kW)</t>
  </si>
  <si>
    <t>[126] [137]</t>
  </si>
  <si>
    <t>2.5% Capex -&gt; 86.2 k$/MW*y
83 k$/MW*y</t>
  </si>
  <si>
    <t>var[13], fix [126] [137]</t>
  </si>
  <si>
    <t>Crate = 1/6 (600 kW)</t>
  </si>
  <si>
    <t>2.5% Capex -&gt; 71.9 k$/MW*y
69 k$/MW*y</t>
  </si>
  <si>
    <t>Crate = 1/4 (600 kW)</t>
  </si>
  <si>
    <t>2.5% Capex -&gt; 57.7 k$/MW*y
56 k$/MW*y</t>
  </si>
  <si>
    <t>Crate = 1/2 (600 kW)</t>
  </si>
  <si>
    <t>2.5% Capex -&gt; 43.3 k$/MW*y
42 k$/MW*y</t>
  </si>
  <si>
    <t>Crate = 1 (600 kW)</t>
  </si>
  <si>
    <t>2.5% Capex -&gt; 36.3 k$/MW*y
35 k$/MW*y</t>
  </si>
  <si>
    <t xml:space="preserve">Utility Battery Storage &gt;2 MW_dc </t>
  </si>
  <si>
    <t>Crate = 1/10 (60 MW)</t>
  </si>
  <si>
    <t>[127] [137]</t>
  </si>
  <si>
    <t>2.5% Capex -&gt; 113.3 k$/MW*y
107 k$/MW*y</t>
  </si>
  <si>
    <t>var[13], fix [127] [137]</t>
  </si>
  <si>
    <t>Crate = 1/8 (60 MW)</t>
  </si>
  <si>
    <t>2.5% Capex -&gt;93.1 k$/MW*y
87 k$/MW*y</t>
  </si>
  <si>
    <t>Crate = 1/6 (60 MW)</t>
  </si>
  <si>
    <t>2.5% Capex -&gt; 72.8 k$/MW*y
68 k$/MW*y</t>
  </si>
  <si>
    <t>Crate = 1/4 (60 MW)</t>
  </si>
  <si>
    <t>2.5% Capex -&gt; 52.5 k$/MW*y
48 k$/MW*y</t>
  </si>
  <si>
    <t>Crate = 1/2 (60 MW)</t>
  </si>
  <si>
    <t>2.5% Capex -&gt; 32.3 k$/MW*y
29 k$/MW*y</t>
  </si>
  <si>
    <t xml:space="preserve">TES stratificato </t>
  </si>
  <si>
    <t>1580 MWh</t>
  </si>
  <si>
    <t>30-35.5 €/kWh</t>
  </si>
  <si>
    <t>Negligible, but both (var and fixed) have been grouped under fixed O&amp;M</t>
  </si>
  <si>
    <t>2% CAPEX -&gt; 0.6-0.71 k$/MWh
0.038-0.228 k$/MW*y (1000 MW 8h-100 MW 100h)</t>
  </si>
  <si>
    <t>2353 MWh</t>
  </si>
  <si>
    <t>26.37 $/kWh</t>
  </si>
  <si>
    <t>[15]</t>
  </si>
  <si>
    <t>2% CAPEX -&gt; 0.527 k$/MWh
0.038-0.228 k$/MW*y (1000 MW 8h-100 MW 100h)</t>
  </si>
  <si>
    <t>29 $/kWh</t>
  </si>
  <si>
    <t>2% CAPEX -&gt; 0.58 k$/MWh
0.038-0.228 k$/MW*y (1000 MW 8h-100 MW 100h)</t>
  </si>
  <si>
    <t>references</t>
  </si>
  <si>
    <t>Link reference</t>
  </si>
  <si>
    <t>[1]</t>
  </si>
  <si>
    <t>Hydrogen and Fuel Cell Technologies Office Multi-Year Program Plan (Production section) (2024)</t>
  </si>
  <si>
    <t>https://www.energy.gov/sites/default/files/2024-05/hfto-mypp-hydrogen-production.pdf</t>
  </si>
  <si>
    <t>[2]</t>
  </si>
  <si>
    <t>Hydrogen Storage and Transport: Technologies and Costs (2024)</t>
  </si>
  <si>
    <t>https://escholarship.org/content/qt83p5k54m/qt83p5k54m_noSplash_8bb1326c13cfb9aa3d0d376ec26d3e06.pdf</t>
  </si>
  <si>
    <t>Hydrogen and Fuel Cell Technologies Office Multi-Year Program Plan (Infrastructure section) (2024)</t>
  </si>
  <si>
    <t>https://www.energy.gov/sites/default/files/2024-09/hfto-mypp-hydrogen-infrastructure.pdf</t>
  </si>
  <si>
    <t>extra</t>
  </si>
  <si>
    <t>Hydrogen and Fuel Cell Technologies Office Multi-Year Program Plan  (2024)</t>
  </si>
  <si>
    <t>https://www.energy.gov/eere/fuelcells/hydrogen-and-fuel-cell-technologies-office-multi-year-program-plan</t>
  </si>
  <si>
    <t>sito da cui ho ricavato [1], [3]; presenta anchee previsioni/obbiettivi futuri per CAPEX</t>
  </si>
  <si>
    <t>[4]</t>
  </si>
  <si>
    <t>Washington Clean Energy Fund: Energy Storage System Consolidated Performance Test Results</t>
  </si>
  <si>
    <t>https://www.osti.gov/servlets/purl/1602252</t>
  </si>
  <si>
    <t>Summer 2024 Solar Industry Update (2024)</t>
  </si>
  <si>
    <t>https://docs.nrel.gov/docs/fy24osti/91209.pdf</t>
  </si>
  <si>
    <t>[6]</t>
  </si>
  <si>
    <t>Cost of Wind Energy Review: 2024 Edition (2024)</t>
  </si>
  <si>
    <t>https://docs.nrel.gov/docs/fy25osti/91775.pdf</t>
  </si>
  <si>
    <t>ho analizzato solo le soluzioni distributed (wind turbine singola), ma ci sono dati disponibili anche per utility scale (wind turbine n°&gt;1) e offshore</t>
  </si>
  <si>
    <t>[7]</t>
  </si>
  <si>
    <t>Distributed Wind Market Report 2024 Edition (2024)</t>
  </si>
  <si>
    <t>https://www.pnnl.gov/main/publications/external/technical_reports/PNNL-36057.pdf</t>
  </si>
  <si>
    <t>[8]</t>
  </si>
  <si>
    <t>Energy Efficiency of Small Wind Turbines in an Urbanized Area—Case Studies (2022)</t>
  </si>
  <si>
    <t>https://www.mdpi.com/1996-1073/15/14/5287</t>
  </si>
  <si>
    <t>[9]</t>
  </si>
  <si>
    <t>Technical and Economic Database for Assessment of Solar Cooling</t>
  </si>
  <si>
    <t>https://task65.iea-shc.org/Data/Sites/1/publications/IEA-SHC-Task65-DC2.pdf</t>
  </si>
  <si>
    <t>[10]</t>
  </si>
  <si>
    <t>Solar Process Heat for the German Industry - Yield and Profitability Compared to Conventional Heat Supply</t>
  </si>
  <si>
    <t>https://www.ise.fraunhofer.de/en/research-projects/ship.html</t>
  </si>
  <si>
    <t>versione tradotta (da me con chatgpt) in cartella condivisa, solar thermal</t>
  </si>
  <si>
    <t>Technology Catalog – Heat Planning, Version 1.1, August 2024, CC-BY, and 2025 edition (october 2025)</t>
  </si>
  <si>
    <t>https://www.kww-halle.de/praxis-kommunale-waermewende/bundesgesetz-zur-waermeplanung</t>
  </si>
  <si>
    <t>excel parzialmente tradotto (da me) in cartella condivisa, solar thermal</t>
  </si>
  <si>
    <t>2022 Grid Energy Storage Technology Cost and Performance Assessment</t>
  </si>
  <si>
    <t>https://www.pnnl.gov/sites/default/files/media/file/ESGC%20Cost%20Performance%20Report%202022%20PNNL-33283.pdf</t>
  </si>
  <si>
    <t>[13]</t>
  </si>
  <si>
    <t>2020 Grid Energy Storage Technology Cost and Performance Assessment</t>
  </si>
  <si>
    <t>https://www.pnnl.gov/sites/default/files/media/file/Final%20-%20ESGC%20Cost%20Performance%20Report%2012-11-2020.pdf</t>
  </si>
  <si>
    <t>Development of Energy Storage: Cost models</t>
  </si>
  <si>
    <t>https://publications.anl.gov/anlpubs/2021/04/167188.pdf</t>
  </si>
  <si>
    <t>Re-Designing the CSP Thermal Energy Storage System to Enable HigherTemperature Performance at Reduced Cost: Final Technical Report</t>
  </si>
  <si>
    <t>https://docs.nrel.gov/docs/fy23osti/84409.pdf</t>
  </si>
  <si>
    <t>[16]</t>
  </si>
  <si>
    <t>KEA Technikkatalog_Tabellen_v1.1</t>
  </si>
  <si>
    <t>https://www.kea-bw.de/waermewende/angebote/downloads</t>
  </si>
  <si>
    <t>[17]</t>
  </si>
  <si>
    <t>Techno-Economic Analysis for a Potential Geothermal District Heating System in Tuttle, Oklahoma</t>
  </si>
  <si>
    <t>https://docs.nrel.gov/docs/fy24osti/86946.pdf</t>
  </si>
  <si>
    <t>Bioenergy in the European Union (2022)</t>
  </si>
  <si>
    <t>https://publications.jrc.ec.europa.eu/repository/bitstream/JRC130730/2022.5470_kjna31283enn.pdf</t>
  </si>
  <si>
    <t>[19]</t>
  </si>
  <si>
    <t>Thermoeconomic Evaluation and Sustainability Insights of Hybrid Solar–Biomass Powered Organic Rankine Cycle Systems: A Comprehensive Review</t>
  </si>
  <si>
    <t>https://www.mdpi.com/2673-8783/4/4/61</t>
  </si>
  <si>
    <t>[20]</t>
  </si>
  <si>
    <t>Optimizing Organic Rankine Cycle (ORC) configurations integrated with transient industrial waste heat: a multi-objective approach</t>
  </si>
  <si>
    <t>https://link.springer.com/article/10.1007/s43937-024-00053-5</t>
  </si>
  <si>
    <t>[21]</t>
  </si>
  <si>
    <t>Renewable power generation costs in 2024 (datafile)</t>
  </si>
  <si>
    <t>https://www.irena.org/Publications/2025/Jun/Renewable-Power-Generation-Costs-in-2024</t>
  </si>
  <si>
    <t>[22]</t>
  </si>
  <si>
    <t>FY19-FY21 Concentrating Solar Power Systems Analysis Final Report</t>
  </si>
  <si>
    <t>https://www.osti.gov/servlets/purl/1923360</t>
  </si>
  <si>
    <t>[23]</t>
  </si>
  <si>
    <t>Annual Technology Baseline</t>
  </si>
  <si>
    <t>https://atb.nrel.gov/electricity/2024/concentrating_solar_power</t>
  </si>
  <si>
    <t>Comparative Techno-Economic Analysis of Parabolic Trough and Linear Fresnel Collectors with Evacuated and Non-Evacuated Receiver Tubes in Different Geographical Regions</t>
  </si>
  <si>
    <t>https://www.mdpi.com/2227-9717/12/11/2376</t>
  </si>
  <si>
    <t>[25]</t>
  </si>
  <si>
    <t>Comprehensive Review on Fuel Cell Technology for Stationary Applications as Sustainable and Efficient Poly-Generation Energy Systems</t>
  </si>
  <si>
    <t>https://www.mdpi.com/1996-1073/14/16/4963</t>
  </si>
  <si>
    <t>[26]</t>
  </si>
  <si>
    <t>A comprehensive review on durability improvement of solid oxide fuel cells for commercial stationary power generation systems</t>
  </si>
  <si>
    <t>https://www.sciencedirect.com/science/article/pii/S030626192301228X</t>
  </si>
  <si>
    <t>[27]</t>
  </si>
  <si>
    <t>DOE Hydrogen Program Record (2023)</t>
  </si>
  <si>
    <t>https://www.hydrogen.energy.gov/docs/hydrogenprogramlibraries/pdfs/23002-hd-fuel-cell-system-cost-2022.pdf</t>
  </si>
  <si>
    <t>[28]</t>
  </si>
  <si>
    <t>Water Electrolyzer Stack Degradation</t>
  </si>
  <si>
    <t>https://restservice.epri.com/publicdownload/000000003002025148/0/Product</t>
  </si>
  <si>
    <t>Solar Heat Worldwide (2024)</t>
  </si>
  <si>
    <t>https://www.iea-shc.org/data/sites/1/publications/Solar-Heat-Worldwide-2024.pdf</t>
  </si>
  <si>
    <t>A review of conventional and exergetic life cycle assessments of organic Rankine cycle plants exploiting various low-temperature energy resources</t>
  </si>
  <si>
    <t>https://www.sciencedirect.com/science/article/pii/S2405844022011215</t>
  </si>
  <si>
    <t>[31]</t>
  </si>
  <si>
    <t>Absorption chillers - Water-Lithium bromide systems</t>
  </si>
  <si>
    <t>https://www.techniques-ingenieur.fr/en/resources/article/ti204/liquid-absorption-machines-be9735/v2/conclusion-6</t>
  </si>
  <si>
    <t>[32]</t>
  </si>
  <si>
    <t>Air-conditioning life cycle assessment research: A review of the methodology, environmental impacts, and areas of future improvement</t>
  </si>
  <si>
    <t>https://www.sciencedirect.com/science/article/pii/S037877882300645X</t>
  </si>
  <si>
    <t>The Chiller life cycle: Aging Chillers and the case for Smart Connected Chillers</t>
  </si>
  <si>
    <t>https://www.johnsoncontrols.com/campaigns/chiller-life-cycle</t>
  </si>
  <si>
    <t>From efficiency to eternity: A holistic review of photovoltaic panel degradation and End-of-Life management</t>
  </si>
  <si>
    <t>https://www.sciencedirect.com/science/article/pii/S0038092X23007697</t>
  </si>
  <si>
    <t>[35]</t>
  </si>
  <si>
    <t>Fatigue Life Evaluation of Wind Turbine Tower Based on Measured Data</t>
  </si>
  <si>
    <t>https://onlinelibrary.wiley.com/doi/full/10.1155/2023/1100725</t>
  </si>
  <si>
    <t>[36]</t>
  </si>
  <si>
    <t>From wind conditions to operational strategy: optimal planning of wind turbine damage progression over its lifetime</t>
  </si>
  <si>
    <t>https://wes.copernicus.org/articles/8/1727/2023/wes-8-1727-2023.pdf</t>
  </si>
  <si>
    <t>Global technical regulation on hydrogen and fuel cell vehicles</t>
  </si>
  <si>
    <t>https://unece.org/fileadmin/DAM/trans/main/wp29/wp29wgs/wp29gen/wp29registry/ECE-TRANS-180a13e.pdf</t>
  </si>
  <si>
    <t>[38]</t>
  </si>
  <si>
    <t>System Level Analysis of Hydrogen Storage Options</t>
  </si>
  <si>
    <t>https://www.hydrogen.energy.gov/docs/hydrogenprogramlibraries/pdfs/st001_ahluwalia_2020_o.pdf</t>
  </si>
  <si>
    <t>A comprehensive review on geo-storage of H2 in salt caverns: Prospect and research advances</t>
  </si>
  <si>
    <t>https://www.sciencedirect.com/science/article/abs/pii/S0016236123022238</t>
  </si>
  <si>
    <t>[40]</t>
  </si>
  <si>
    <t>Hydrogen Europe - Strategic Research and Innovation Agenda</t>
  </si>
  <si>
    <t>https://hydrogeneurope.eu/wp-content/uploads/2021/11/20201027-SRIA-CHE-final-draft.pdf</t>
  </si>
  <si>
    <t>[41]</t>
  </si>
  <si>
    <t>Strategic Research and Innovation Agenda 2021 – 2027</t>
  </si>
  <si>
    <t>https://www.clean-hydrogen.europa.eu/system/files/2022-02/Clean%20Hydrogen%20JU%20SRIA%20-%20approved%20by%20GB%20-%20clean%20for%20publication%20%28ID%2013246486%29.pdf</t>
  </si>
  <si>
    <t>[42]</t>
  </si>
  <si>
    <t>Addendum to the Multi - Annual Work Plan 2014 - 2020</t>
  </si>
  <si>
    <t>https://www.clean-hydrogen.europa.eu/document/download/29a7bd1b-5c19-4202-8fd2-dbfad804c6bf_en?filename=MAWP%20final%20version_endorsed%20GB%2015062018%20%28ID%203712421%29.pdf</t>
  </si>
  <si>
    <t>[43]</t>
  </si>
  <si>
    <t>Smart Power Generation – District heating solutions</t>
  </si>
  <si>
    <t>https://www.wartsila.com/docs/default-source/power-plants-documents/downloads/white-papers/general/wartsila-district-heating-solutions.pdf</t>
  </si>
  <si>
    <t>[44]</t>
  </si>
  <si>
    <t>BIOMASS PRICE LIST AND DELIVERY PROGRAM OVERALL CATALOG BIOMASS SYSTEMS UP TO 1500 kW</t>
  </si>
  <si>
    <t>https://www.herz-energie.at/tl_files/INT_Herz%20Biomassepreisliste%20bis%201.500%20kW_HERZ%20biomass%20price%20list%20until%201%2C500%20kW/HERZ_price_list_biomass_04-2025_V2.0_EN.pdf</t>
  </si>
  <si>
    <t>Measurement of the in-situ performance of solid biomass boilers</t>
  </si>
  <si>
    <t>https://assets.publishing.service.gov.uk/media/5d78ee5940f0b61cdf60ac5e/Full_technical_report.pdf</t>
  </si>
  <si>
    <t>[46]</t>
  </si>
  <si>
    <t>Heating systems through the lens of the boiler: Detailed case studies to inform current and future heating system design</t>
  </si>
  <si>
    <t>https://www.researchgate.net/publication/337767655_Heating_systems_through_the_lens_of_the_boiler_Detailed_case_studies_to_inform_current_and_future_heating_system_design</t>
  </si>
  <si>
    <t>Role of thermal technologies for enhancing flexibility in multi-energy systems through sector coupling: technical suitability and expected developments</t>
  </si>
  <si>
    <t>https://ietresearch.onlinelibrary.wiley.com/doi/10.1049/iet-esi.2019.0061</t>
  </si>
  <si>
    <t>[48]</t>
  </si>
  <si>
    <t>FuelCell Energy Announces Solid Oxide Electrolysis and Fuel Cell Platform to Improve Control and Flexibility of Energy Investments</t>
  </si>
  <si>
    <t>https://investor.fce.com/press-releases/press-release-details/2022/FuelCell-Energy-Announces-Solid-Oxide-Electrolysis-and-Fuel-Cell-Platform-to-Improve-Control-and-Flexibility-of-Energy-Investments/default.aspx</t>
  </si>
  <si>
    <t>[49]</t>
  </si>
  <si>
    <t>Ballard-Stationary-Market-Product-Brochure-december-2024.pdf</t>
  </si>
  <si>
    <t>https://www.ballard.com/wp-content/uploads/2024/11/Ballard-Stationary-Market-Product-Brochure-december-2024.pdf</t>
  </si>
  <si>
    <t>[50]</t>
  </si>
  <si>
    <t>Wärtsilä 34SG gas engine</t>
  </si>
  <si>
    <t>https://www.wartsila.com/energy/solutions/engine-power-plants/wartsila-34sg-gas-engine</t>
  </si>
  <si>
    <t>[51]</t>
  </si>
  <si>
    <t>Solid Oxide Fuel Cell (SOFC) Module Pricing</t>
  </si>
  <si>
    <t>https://www.researchgate.net/publication/389008280_Solid_Oxide_Fuel_Cell_SOFC_Module_Pricing</t>
  </si>
  <si>
    <t>Improve the flexibility provided by combined heat and power plants (CHPs) – a review of potential technologies</t>
  </si>
  <si>
    <t>https://www.sciencedirect.com/science/article/pii/S277267112100022X</t>
  </si>
  <si>
    <t>[53]</t>
  </si>
  <si>
    <t>Bioenergy's role in balancing the electricity grid and providing storage options – an EU perspective</t>
  </si>
  <si>
    <t>https://www.ieabioenergy.com/wp-content/uploads/2017/02/IEA-Bioenergy-bio-in-balancing-grid_master-FINAL.pdf</t>
  </si>
  <si>
    <t>[54]</t>
  </si>
  <si>
    <t>A Practical Metric to Evaluate the Ramp Events of Wind Generating Resources to Enhance the Security of Smart Energy Systems</t>
  </si>
  <si>
    <t>https://www.mdpi.com/1996-1073/15/7/2676</t>
  </si>
  <si>
    <t>[55]</t>
  </si>
  <si>
    <t>A novel approach for power ramps classification in wind generation</t>
  </si>
  <si>
    <t>https://www.nature.com/articles/s41598-023-48443-4</t>
  </si>
  <si>
    <t>[56]</t>
  </si>
  <si>
    <t>Estimation of the largest expected photovoltaic power ramp rates</t>
  </si>
  <si>
    <t>https://www.sciencedirect.com/science/article/pii/S0306261920311387</t>
  </si>
  <si>
    <t>[57]</t>
  </si>
  <si>
    <t>Review of PV Power Ramp Rate Control Methods and Their Requirements</t>
  </si>
  <si>
    <t>https://svusrc.journals.ekb.eg/article_192929_8ebddd506e9030a340438b9c2bb29a08.pdf</t>
  </si>
  <si>
    <t>On the Effect of Ramp Rate in Damage Accumulation of the CPV Die-Attach</t>
  </si>
  <si>
    <t>https://docs.nrel.gov/docs/fy12osti/54092.pdf</t>
  </si>
  <si>
    <t>[59]</t>
  </si>
  <si>
    <t>Hydrogen refueling method for heavy-duty FCV with pressure loss compensation</t>
  </si>
  <si>
    <t>https://www.sciencedirect.com/science/article/pii/S0360319924011273</t>
  </si>
  <si>
    <t>[60]</t>
  </si>
  <si>
    <t>Techno-Economic Modelling of Large-Scale Energy Storage Systems</t>
  </si>
  <si>
    <t>https://publications.tno.nl/publication/34637698/2VA30k/TNO-2020-R12004.pdf</t>
  </si>
  <si>
    <t>[61]</t>
  </si>
  <si>
    <t>Experimental Study on the Feasibility of Quick Startup of Instant Heat Pump Water Heaters Based on Active Control of Heat Sink Flow Step</t>
  </si>
  <si>
    <t>https://www.mdpi.com/1996-1073/16/17/6145</t>
  </si>
  <si>
    <t>[62]</t>
  </si>
  <si>
    <t>Measurement and Simulation of Startup and Shut Down of Heat Pumps</t>
  </si>
  <si>
    <t>https://docs.lib.purdue.edu/cgi/viewcontent.cgi?article=2007&amp;context=iracc&amp;httpsredir=1&amp;referer=&amp;</t>
  </si>
  <si>
    <t>[63]</t>
  </si>
  <si>
    <t>Daikin Service Manual</t>
  </si>
  <si>
    <t>https://backend.daikincomfort.com/docs/default-source/product-documents/residential/manuals/servicemanual/service-manual_17series.pdf?sfvrsn=48422a26_10&amp;</t>
  </si>
  <si>
    <t>[64]</t>
  </si>
  <si>
    <t xml:space="preserve">ICE Air Operating and Maintenance Manual - Water Source Heat Pump (WSHP) Unit </t>
  </si>
  <si>
    <t>https://www.ice-air.com/wp-content/uploads/ICE6064-WSHP-CHPW-Manual.pdf</t>
  </si>
  <si>
    <t>[65]</t>
  </si>
  <si>
    <t>Partial load efficiency degradation of a water-to-water heat pump under fixed set-point control</t>
  </si>
  <si>
    <t>https://www.researchgate.net/publication/303775523_Partial_load_efficiency_degradation_of_a_water-to-water_heat_pump_under_fixed_set-point_control</t>
  </si>
  <si>
    <t>[66]</t>
  </si>
  <si>
    <t>Transient model of heat pump cycle</t>
  </si>
  <si>
    <t>https://scispace.com/pdf/the-transient-model-of-heat-pump-cycle-1lo8bp1uee.pdf</t>
  </si>
  <si>
    <t>[67]</t>
  </si>
  <si>
    <t>Northern Heat Pump - Water to Water Geothermal Heat Pump Installation &amp; Operating Instructions</t>
  </si>
  <si>
    <t>https://www.northernheatpump.com/documents/NI701_R-AD-WE.pdf</t>
  </si>
  <si>
    <t>[68]</t>
  </si>
  <si>
    <t>Modeling alkaline water electrolysis for power-to-x applications: A scheduling approach</t>
  </si>
  <si>
    <t>https://ris.utwente.nl/ws/files/249961465/1_s2.0_S036031992034725X_main.pdf</t>
  </si>
  <si>
    <t>[69]</t>
  </si>
  <si>
    <t>Siemens Energy launches its first megawatt green hydrogen production project in China </t>
  </si>
  <si>
    <t>https://press.siemens.com/global/en/pressrelease/siemens-energy-launches-its-first-megawatt-green-hydrogen-production-project-china</t>
  </si>
  <si>
    <t>[70]</t>
  </si>
  <si>
    <t>The Plug EX-4250D</t>
  </si>
  <si>
    <t>https://www.plugpower.com/wp-content/uploads/2021/10/EX-4250D_F041122.pdf</t>
  </si>
  <si>
    <t>[71]</t>
  </si>
  <si>
    <t>H2B2 - EL400N</t>
  </si>
  <si>
    <t>https://www.h2b2.es/el400n/</t>
  </si>
  <si>
    <t>[72]</t>
  </si>
  <si>
    <t>Technical evaluation of the flexibility of water electrolysis systems to increase energy flexibility: A review</t>
  </si>
  <si>
    <t>https://www.sciencedirect.com/science/article/pii/S0360319923000459</t>
  </si>
  <si>
    <t>[73]</t>
  </si>
  <si>
    <t>Experimental investigation of hydrogen production performance of PEM electrolyze</t>
  </si>
  <si>
    <t>https://www.nature.com/articles/s41598-025-06351-9</t>
  </si>
  <si>
    <t>[74]</t>
  </si>
  <si>
    <t>Supro cooling - Water Fired absorption chillers AB series</t>
  </si>
  <si>
    <t>https://supro-cooling.com/wp-content/uploads/2020/12/Supro-Absorptie-Chillers-eng.pdf</t>
  </si>
  <si>
    <t>[75]</t>
  </si>
  <si>
    <t>Carrier 16TJ Single-Effect, Steam Hermetic Absorption Liquid Chiller</t>
  </si>
  <si>
    <t>https://www.carriercca.com/pdf/products_pdf/16TJ-1PD.pdf</t>
  </si>
  <si>
    <t>[76]</t>
  </si>
  <si>
    <t>RGW Steam double effect absorption chiller</t>
  </si>
  <si>
    <t>https://innovaref.fi/pdf/RGW%20Ebara%20Steam%20chiller.pdf</t>
  </si>
  <si>
    <t>[77]</t>
  </si>
  <si>
    <t>Ascend™ Air-Cooled Chiller Model ACR, Pag 85</t>
  </si>
  <si>
    <t>https://www.trane.com/content/dam/Trane/Commercial/global/products-systems/equipment/chillers/air-cooled/ascend/AC-SVX001E-EN_07092021.pdf</t>
  </si>
  <si>
    <t>[78]</t>
  </si>
  <si>
    <t>Chiller Replacement Package Performance Requirements, Savings and Costs</t>
  </si>
  <si>
    <t>https://www.energy.gov/sites/default/files/2022-08/bto-schools-chiller-replacement-083022.pdf</t>
  </si>
  <si>
    <t>US department of energy - Combined Heat and Power Technology Fact Sheet Series</t>
  </si>
  <si>
    <t>https://www.energy.gov/sites/prod/files/2017/06/f35/CHP-Absorption%20Chiller-compliant.pdf</t>
  </si>
  <si>
    <t>[80]</t>
  </si>
  <si>
    <t>REP ElectraNet Generator Technical and Cost Parameters</t>
  </si>
  <si>
    <t>https://it.scribd.com/document/649883360/508986-REP-ElectraNet-Generator-Technical-And-Cost-Parameters-23July2020</t>
  </si>
  <si>
    <t>[81]</t>
  </si>
  <si>
    <t>heating value of pellets</t>
  </si>
  <si>
    <t>https://sutertechnologies.com/en/pellets/</t>
  </si>
  <si>
    <t>[82]</t>
  </si>
  <si>
    <t>Cost of hydrogen production - European Hydrogen Observatory</t>
  </si>
  <si>
    <t>https://observatory.clean-hydrogen.europa.eu/hydrogen-landscape/production-trade-and-cost/cost-hydrogen-production</t>
  </si>
  <si>
    <t>[83]</t>
  </si>
  <si>
    <t>German Pellet Market 2025: Price Trends</t>
  </si>
  <si>
    <t>https://pellets-wood.com/news-german-pellet-market-2025-price-trends-and-future-prospects-13.html</t>
  </si>
  <si>
    <t>[84]</t>
  </si>
  <si>
    <t>Argus Biomass markets, weekly biomass market news and analysis</t>
  </si>
  <si>
    <t>https://view.argusmedia.com/rs/584-BUW-606/images/BIO-Sample-Report-Argus%20Biomass%20Markets%20%282025-01-15%29.pdf?version=0</t>
  </si>
  <si>
    <t>[85]</t>
  </si>
  <si>
    <t>Rice straw for energy and value-added products in China: a review</t>
  </si>
  <si>
    <t>https://www.researchgate.net/publication/371582944_Rice_straw_for_energy_and_value-added_products_in_China_a_review</t>
  </si>
  <si>
    <t>[86]</t>
  </si>
  <si>
    <t>Physical and combustion properties of agricultural residue bio-char bio-composite briquettes as sustainable domestic energy sources</t>
  </si>
  <si>
    <t>https://www.sciencedirect.com/science/article/abs/pii/S0960148119315769</t>
  </si>
  <si>
    <t>[87]</t>
  </si>
  <si>
    <t>High-Temperature Fuel Cell – Solid Oxide Fuel Cell (SOFC)</t>
  </si>
  <si>
    <t>https://ieafuelcell.com/output/technology-reports/high-temperature-fuel-cell-solid-oxide-fuel-cell-sofc/</t>
  </si>
  <si>
    <t>[88]</t>
  </si>
  <si>
    <t>Residential PV</t>
  </si>
  <si>
    <t>https://atb.nrel.gov/electricity/2024/residential_pv</t>
  </si>
  <si>
    <t>[89]</t>
  </si>
  <si>
    <t>Commercial PV</t>
  </si>
  <si>
    <t>https://atb.nrel.gov/electricity/2024/commercial_pv</t>
  </si>
  <si>
    <t>[90]</t>
  </si>
  <si>
    <t>Utility-Scale PV</t>
  </si>
  <si>
    <t>https://atb.nrel.gov/electricity/2024/utility-scale_pv</t>
  </si>
  <si>
    <t>[91]</t>
  </si>
  <si>
    <t>Utility-Scale PV-Plus-Battery</t>
  </si>
  <si>
    <t>https://atb.nrel.gov/electricity/2024/utility-scale_pv-plus-battery</t>
  </si>
  <si>
    <t>[92]</t>
  </si>
  <si>
    <t>Marinisation of Solix Oxide Fuel Cells Inclination Experiments, Thermodynamic analysis, and Power Plant Design</t>
  </si>
  <si>
    <t>https://pure.tudelft.nl/ws/portalfiles/portal/237357894/2025-01-25_Dissertation_V12_print_revised.pdf</t>
  </si>
  <si>
    <t>[93]</t>
  </si>
  <si>
    <t>Apparatus for solid-oxide fuel cell shutdown</t>
  </si>
  <si>
    <t>https://patents.google.com/patent/EP2109174A1/en</t>
  </si>
  <si>
    <t>[94]</t>
  </si>
  <si>
    <t>Improvements of Micro-CHP SOFC System Operation by Efficient Dynamic Simulation Methods</t>
  </si>
  <si>
    <t>https://www.mdpi.com/2227-9717/9/7/1113</t>
  </si>
  <si>
    <t>[95]</t>
  </si>
  <si>
    <t>An efficient cold start strategy for proton exchange membrane fuel cell stacks</t>
  </si>
  <si>
    <t>https://www.sciencedirect.com/science/article/abs/pii/S0378775322004992</t>
  </si>
  <si>
    <t>[96]</t>
  </si>
  <si>
    <t>Investigation on a Shutdown Control Strategy with Residual Oxygen Rapid Elimination for Proton Exchange Membrane Fuel Cell System</t>
  </si>
  <si>
    <t>https://www.mdpi.com/1996-1073/16/3/1285</t>
  </si>
  <si>
    <t>[97]</t>
  </si>
  <si>
    <t>Application Note – Fuel Cell Start-Up &amp; Shut-Down</t>
  </si>
  <si>
    <t>https://www.scribner.com/wp-content/uploads/2017/06/Fuel-Cell-Start-up-Shut-down.pdf</t>
  </si>
  <si>
    <t>[98]</t>
  </si>
  <si>
    <t>Combustion engine vs. Aeroderivative gas turbine: Six elements of dispatching</t>
  </si>
  <si>
    <t>https://www.wartsila.com/energy/learn-more/technology-comparison-engines-vs-aeros/six-elements-of-dispatching</t>
  </si>
  <si>
    <t>[99]</t>
  </si>
  <si>
    <t>MID-SIZED NEW GENERATION: RECIPROCATING INTERNAL COMBUSTION ENGINES OR COMBUSTION TURBINE?</t>
  </si>
  <si>
    <t>https://www.cdmsmith.com/-/media/White-Papers/Melanie-Schmeida-Mid-Sized-New-Generation-White-Paper.pdf</t>
  </si>
  <si>
    <t>[100]</t>
  </si>
  <si>
    <t>Boiler best practices: Boiler upgrades and HRSG installations require care</t>
  </si>
  <si>
    <t>https://www.turbomachinerymag.com/view/boiler-best-practices-boiler-upgrades-and-hrsg-installations-require-care</t>
  </si>
  <si>
    <t>DOUBLE EFFECT ABSORPTION CHILLERS MODEL REW &amp; RGWA SERIES</t>
  </si>
  <si>
    <t>https://www.hydroera.com.my/cms/images/files/2020/02/REW-RGWA.pdf</t>
  </si>
  <si>
    <t>BATTERIES: BEYOND THE SPIN</t>
  </si>
  <si>
    <t>https://info.fluenceenergy.com/hubfs/Collateral/Everoze%20-%20Batteries%20Beyond%20the%20Spin.pdf</t>
  </si>
  <si>
    <t>[103]</t>
  </si>
  <si>
    <t>How Has Spain’s Concentrated Solar Thermal Power Performed?</t>
  </si>
  <si>
    <t>https://www.solarpaces.org/spains-concentrated-solar-thermal-power-performed/</t>
  </si>
  <si>
    <t>Cost benefits of optimizing hydrogen storage and methanation capacities for Power-to-Gas plants in dynamic operation</t>
  </si>
  <si>
    <t>https://www.sciencedirect.com/science/article/pii/S030626191931654X</t>
  </si>
  <si>
    <t>[105]</t>
  </si>
  <si>
    <t>Dynamic operation of water electrolyzers: A review for applications in photovoltaic systems integration</t>
  </si>
  <si>
    <t>https://www.sciencedirect.com/science/article/pii/S1364032123002642</t>
  </si>
  <si>
    <t>[106]</t>
  </si>
  <si>
    <t>Land-Based Wind</t>
  </si>
  <si>
    <t>https://atb.nrel.gov/electricity/2023/land-based_wind</t>
  </si>
  <si>
    <t>[107]</t>
  </si>
  <si>
    <t>lazards-lcoeplus-june-2025</t>
  </si>
  <si>
    <t>https://www.lazard.com/media/uounhon4/lazards-lcoeplus-june-2025.pdf</t>
  </si>
  <si>
    <t>Distributed Wind</t>
  </si>
  <si>
    <t>https://atb.nrel.gov/electricity/2023/distributed_wind</t>
  </si>
  <si>
    <t>[109]</t>
  </si>
  <si>
    <t>Concentrating Solar Power</t>
  </si>
  <si>
    <t>https://atb.nrel.gov/electricity/2023/concentrating_solar_power</t>
  </si>
  <si>
    <t>[110]</t>
  </si>
  <si>
    <t>Cost and Performance Assumptions for Modeling Electricity Generation Technologies</t>
  </si>
  <si>
    <t>https://docs.nrel.gov/docs/fy11osti/48595.pdf</t>
  </si>
  <si>
    <t>[111]</t>
  </si>
  <si>
    <t>Purchasing Energy-Efficient Residential Gas Boilers</t>
  </si>
  <si>
    <t>https://www.energy.gov/femp/purchasing-energy-efficient-residential-gas-boilers</t>
  </si>
  <si>
    <t>[112]</t>
  </si>
  <si>
    <t xml:space="preserve">Hargassner Eco-HK 50–60 kW </t>
  </si>
  <si>
    <t>https://www.hargassner.com/ca-en/boilers/wood-chip-boiler/eco-hk-50-60-kw/</t>
  </si>
  <si>
    <t>[113]</t>
  </si>
  <si>
    <t xml:space="preserve">Hargassner Eco-HK 70–120 kW </t>
  </si>
  <si>
    <t>https://www.hargassner.com/ca-en/boilers/wood-chip-boiler/eco-hk-70-120/</t>
  </si>
  <si>
    <t>[114]</t>
  </si>
  <si>
    <t>Hargassner Smart-PK 32 kW</t>
  </si>
  <si>
    <t>https://www.hargassner.com/ca-en/boilers/pellet-boiler/smart-pk-32/</t>
  </si>
  <si>
    <t>[115]</t>
  </si>
  <si>
    <t>Hargassner Eco-PK 70–120 kW</t>
  </si>
  <si>
    <t>https://www.hargassner.com/ca-en/boilers/pellet-boiler/eco-pk-70-120-kw/</t>
  </si>
  <si>
    <t>[116]</t>
  </si>
  <si>
    <t>Biomass-fired Organic Rankine Cycle-based CHP for Community-Scale Applications</t>
  </si>
  <si>
    <t>https://www.energy-proceedings.org/wp-content/uploads/2022/08/MITAB_2022_paper_4117.pdf</t>
  </si>
  <si>
    <t>[117]</t>
  </si>
  <si>
    <t>Scattergood Modernization Project Alternatives: Summary of Findings</t>
  </si>
  <si>
    <t>https://www.ladwp.com/sites/default/files/2025-03/Scattergood%20Moderniazation%20Alternative%20Study%20Final.pdf</t>
  </si>
  <si>
    <t>[118]</t>
  </si>
  <si>
    <t>BloomEnregy Q2 2024 earnings</t>
  </si>
  <si>
    <t>https://s29.q4cdn.com/452919417/files/doc_financials/2024/q2/Q224-Supplemental-Financial-Information.pdf</t>
  </si>
  <si>
    <t>[119]</t>
  </si>
  <si>
    <t>Capital Cost and Performance Characteristic Estimates for Utility Scale Electric Power Generating Technologies</t>
  </si>
  <si>
    <t>https://www.eia.gov/analysis/studies/powerplants/capitalcost/pdf/capital_cost_aeo2020.pdf</t>
  </si>
  <si>
    <t>[120]</t>
  </si>
  <si>
    <t>A Comprehensive Assessment of Small Combined Heat and Power Technical and Market Potential in California</t>
  </si>
  <si>
    <t>https://www.energy.ca.gov/sites/default/files/2021-06/CEC-500-2019-030.pdf</t>
  </si>
  <si>
    <t>[121]</t>
  </si>
  <si>
    <t>Chillers: Sourcing Guide &amp; Market Intelligence</t>
  </si>
  <si>
    <t>https://www.procurementiq.com/market-intelligence/chillers</t>
  </si>
  <si>
    <t>[122]</t>
  </si>
  <si>
    <t>Eurostat Electricity price statistics</t>
  </si>
  <si>
    <t>https://ec.europa.eu/eurostat/statistics-explained/index.php?title=Electricity_price_statistics&amp;utm_source=chatgpt.com#Electricity_prices_for_non-household_consumers</t>
  </si>
  <si>
    <t>[123]</t>
  </si>
  <si>
    <t>AquaEdge® Water-Cooled Centrifugal Chiller 19 MV</t>
  </si>
  <si>
    <t>https://www.carrier.com/commercial/en/us/products/chillers-components/water-cooled-chillers/19mv/</t>
  </si>
  <si>
    <t>[124]</t>
  </si>
  <si>
    <t>Modular Chiller P900</t>
  </si>
  <si>
    <t>https://co.mitsubishielectric.com/es/products-solutions/air-conditioning/pdf/catalogo_e-chiller.pdf</t>
  </si>
  <si>
    <t>[125]</t>
  </si>
  <si>
    <t>Residential Battery Storage</t>
  </si>
  <si>
    <t>https://atb.nrel.gov/electricity/2024/residential_battery_storage</t>
  </si>
  <si>
    <t>[126]</t>
  </si>
  <si>
    <t>Commercial Battery Storage</t>
  </si>
  <si>
    <t>https://atb.nrel.gov/electricity/2024/commercial_battery_storage</t>
  </si>
  <si>
    <t>[127]</t>
  </si>
  <si>
    <t>Utility-Scale Battery Storage</t>
  </si>
  <si>
    <t>https://atb.nrel.gov/electricity/2024/utility-scale_battery_storage</t>
  </si>
  <si>
    <t>[128]</t>
  </si>
  <si>
    <t>Field Validation of Air-Source Heat Pumps for Cold Climates</t>
  </si>
  <si>
    <t>https://docs.nrel.gov/docs/fy23osti/84745.pdf</t>
  </si>
  <si>
    <t>[129]</t>
  </si>
  <si>
    <t>Performance Considerations for Ground Source Heat Pumps in Cold Climates</t>
  </si>
  <si>
    <t>https://docs.nrel.gov/docs/fy21osti/79479.pdf</t>
  </si>
  <si>
    <t>[130]</t>
  </si>
  <si>
    <t>Air-to-water heat pumps: Review and analysis of the performance gap between in-use and product rated performance</t>
  </si>
  <si>
    <t>https://www.sciencedirect.com/science/article/abs/pii/S1364032121011540</t>
  </si>
  <si>
    <t>[131]</t>
  </si>
  <si>
    <t>End-Use Savings Shapes Measure Documentation: Central Hydronic Water-to-Water Geothermal Heat Pump</t>
  </si>
  <si>
    <t>https://docs.nrel.gov/docs/fy24osti/89239.pdf</t>
  </si>
  <si>
    <t>[132]</t>
  </si>
  <si>
    <t>https://www.pnnl.gov/sites/default/files/media/file/Hydrogen_Methodology.pdf</t>
  </si>
  <si>
    <t>[133]</t>
  </si>
  <si>
    <t>Assessment of Hydrogen Production Costs from Electrolysis: United States and Europe</t>
  </si>
  <si>
    <t>https://theicct.org/wp-content/uploads/2021/06/final_icct2020_assessment_of-_hydrogen_production_costs-v2.pdf</t>
  </si>
  <si>
    <t>[134]</t>
  </si>
  <si>
    <t>H2NEW: Hydrogen (H2) from Next-generation Electrolyzers of Water Overview</t>
  </si>
  <si>
    <t>https://docs.nrel.gov/docs/fy24osti/89648.pdf</t>
  </si>
  <si>
    <t>[135]</t>
  </si>
  <si>
    <t>Technical Targets for Liquid Alkaline Electrolysis</t>
  </si>
  <si>
    <t>https://www.energy.gov/eere/fuelcells/technical-targets-liquid-alkaline-electrolysis</t>
  </si>
  <si>
    <t>[136]</t>
  </si>
  <si>
    <t>Air Source Heat Pump Costs in the UK: 2025 Guide</t>
  </si>
  <si>
    <t>https://www.greenmatch.co.uk/heat-pumps/cost</t>
  </si>
  <si>
    <t>[137]</t>
  </si>
  <si>
    <t>Electricity Annual Technology Baseline (ATB) Data Download</t>
  </si>
  <si>
    <t>https://atb.nrel.gov/electricity/2024/data</t>
  </si>
  <si>
    <t>Fast Grid Frequency Support from Distributed Energy Resources</t>
  </si>
  <si>
    <t>https://docs.nrel.gov/docs/fy21osti/71156.pdf</t>
  </si>
  <si>
    <t>Thermal Storage System to Provide Highly-efficient Electric Power Resilience in the Era of Renewable Energy</t>
  </si>
  <si>
    <t>https://www.mhi.com/technology/review/sites/g/files/jwhtju2326/files/media/pdf/e571040.pdf</t>
  </si>
  <si>
    <t>Hydrogen Storage Tech Team Roadmap</t>
  </si>
  <si>
    <t>https://www.energy.gov/eere/vehicles/articles/us-drive-hydrogen-storage-technical-team-roadmap</t>
  </si>
  <si>
    <t>Heat transport and load response characteristics of a molten salt solar tower power station engaged in peak regulation</t>
  </si>
  <si>
    <t>https://www.sciencedirect.com/science/article/abs/pii/S0306261924011176</t>
  </si>
  <si>
    <t>Dynamic response characteristics of molten salt solar power tower plant under rapid load changes</t>
  </si>
  <si>
    <t>https://www.sciencedirect.com/science/article/abs/pii/S0360544224037769</t>
  </si>
  <si>
    <t>ORC TURBOGENERATOR TYPE CHP - Organic Rankine Cycle Turbogenerator Fed by Thermal Oil, For The Combined Production of Electric Energy and Heat</t>
  </si>
  <si>
    <t>https://it.scribd.com/document/656420006/ORC-TURBOGENERATOR-TYPE-CHP-Organic-Rankine-Cycle-Turbogenerator-Fed-by-Thermal-Oil-For-the-Combined-Production-of-Electric-Energy-and-Heat</t>
  </si>
  <si>
    <t>Detailed design of the ORC laboratory prototype</t>
  </si>
  <si>
    <t>https://ec.europa.eu/research/participants/documents/downloadPublic?appId=PPGMS&amp;documentIds=080166e5c7d588f4</t>
  </si>
  <si>
    <t>Greenstar 8000 Life</t>
  </si>
  <si>
    <t>https://www.freeboilermanuals.com/assets/pdf/worcester_bosh/8000-life-1.pdf</t>
  </si>
  <si>
    <t>Greenstar 2000</t>
  </si>
  <si>
    <t>https://www.plumbnation.co.uk/documents/worcester-bosch-greenstar-2000-combi-gas-boiler-user-guide.pdf?srsltid=AfmBOoqX4-KTf1n5NRPQDU5ykd4A881XbIZaBoRSJ6WMMfuQZI6YflI-&amp;</t>
  </si>
  <si>
    <t>VITODENS 050-W</t>
  </si>
  <si>
    <t>https://viessmanndirect.co.uk/files//6675e654-7cbc-417c-88b2-a70d01685823/Vitodens%20050%20BPJD%20Install%20and%20Service%20Manual.pdf?srsltid=AfmBOopSPWO5SNSqftyNHzbcjv2DSk3dFTZBkLNbWPClNnClTOXdsxWm&amp;</t>
  </si>
  <si>
    <t>RD 532i/RD 537i/RD 542i combi</t>
  </si>
  <si>
    <t>https://www.dhsspares.co.uk/userfiles/boiler_manuals/WOR780.pdf?srsltid=AfmBOophaBaMMPIW-k9-aMHzsypAFpnirQNK1JR0nYU0XWZwHyzl_Mek&amp;</t>
  </si>
  <si>
    <t>BUREAU OF AIR MANAGEMENT NEW SOURCE REVIEW PERMIT TO CONSTRUCT AND OPERATE A STATIONARY SOURCE</t>
  </si>
  <si>
    <t>https://portal.ct.gov/-/media/deep/air/permits/titlev/wallingford_energy_llc/p1890197pdf.pdf</t>
  </si>
  <si>
    <t>COMBINED- AND SIMPLE-CYCLE TURBINE OPERATING SCHEDULES CHANGES &amp; MISCELLANEOUS UPDATES TO PERMITS TO CONSTRUCT</t>
  </si>
  <si>
    <t>https://efiling.energy.ca.gov/GetDocument.aspx?tn=232866&amp;</t>
  </si>
  <si>
    <t>Horizon™ Single-Stage Steam or Hot Water Absorption Chiller</t>
  </si>
  <si>
    <t>https://surplusgroup.com/wp-content/themes/SurplusGroup/media/35427/abs-m-10a_04012001.pdf</t>
  </si>
  <si>
    <t>TZ Chiller series Screw inverter chiller</t>
  </si>
  <si>
    <t>https://daikinapplied.co.id/wp-content/uploads/2024/07/EWAD-TZ-B-EWAH-TZ-B-brochure.pdf</t>
  </si>
  <si>
    <t>IEA‐ETSAP Energy Technology Data Source  (ETechDS)  </t>
  </si>
  <si>
    <t>https://iea-etsap.org/projects/ETechsDS-Data_Normalisation-P1.pdf</t>
  </si>
  <si>
    <t>Siram Veolia data</t>
  </si>
  <si>
    <t>Coupled Transient Operation and Emission Analysis of a Natural Gas-Fueled SOFC-Battery Hybrid Demonstrator for Maritime Application</t>
  </si>
  <si>
    <t>https://www.researchgate.net/publication/397912928_Coupled_Transient_Operation_and_Emission_Analysis_of_a_Natural_Gas-Fueled_SOFC-Battery_Hybrid_Demonstrator_for_Maritime_Application</t>
  </si>
  <si>
    <t>2020 Costs and Technical Parameter Review</t>
  </si>
  <si>
    <t>https://www.aemo.com.au/-/media/files/electricity/%E2%80%8Cnem/%E2%80%8Cplanning_and_%E2%80%8Cforecasting/%E2%80%8Cinputs-assumptions-methodologies/%E2%80%8C2021/Aurecon-Cost-and-Technical-Parameters-Review-2020.pdf</t>
  </si>
  <si>
    <t>Historical Analysis of FCH 2 JU Stationary Fuel Cell Projects</t>
  </si>
  <si>
    <t>https://publications.jrc.ec.europa.eu/repository/bitstream/JRC125018/stationary_kpi_report_-_18052021_-_public_version_with_identifiers.pdf</t>
  </si>
  <si>
    <t>Manufacturing Cost Analysis of 100 and 250 kW Fuel Cell Systems for Primary Power and Combined Heat and Power Applications</t>
  </si>
  <si>
    <t>https://www.energy.gov/sites/prod/files/2018/02/f49/fcto_battelle_mfg_cost_analysis_100_250kw_pp_chp_fc_systems_jan2017.pdf</t>
  </si>
  <si>
    <t>Stationary and Emerging Market Fuel Cell System Cost Analysis – Primary Power and Combined Heat and Power Applications</t>
  </si>
  <si>
    <t>https://www.hydrogen.energy.gov/docs/hydrogenprogramlibraries/pdfs/review15/fc097_contini_2015_o.pdf?Status=Master</t>
  </si>
  <si>
    <t>STATIONARY FUEL CELL APPLICATIONS</t>
  </si>
  <si>
    <t>https://ieafuelcell.com/wp-content/uploads/2024/11/2021-stationary-application-performance.pdf</t>
  </si>
  <si>
    <t>IEA Heat Pumping Technologies Annex 57</t>
  </si>
  <si>
    <t>https://heatpumpingtechnologies.org/content/uploads/sites/69/2024/03/task-4-reportfinal-2.pdf</t>
  </si>
  <si>
    <t>https://docs.lib.purdue.edu/cgi/viewcontent.cgi?article=2007&amp;context=iracc&amp;httpsredir=1&amp;referer</t>
  </si>
  <si>
    <t>1 - 20 MW_el</t>
  </si>
  <si>
    <t>3 kW_el - 100 MW_el</t>
  </si>
  <si>
    <t>NG boiler non-condensing/condensing</t>
  </si>
  <si>
    <t>100 - 500 kW_th (comment!)</t>
  </si>
  <si>
    <t>500 - 1000 kW_th (comment!)</t>
  </si>
  <si>
    <t>0.1 - 50 kW_el</t>
  </si>
  <si>
    <t xml:space="preserve">general </t>
  </si>
  <si>
    <t>general</t>
  </si>
  <si>
    <t xml:space="preserve">
if H2 bought:
0.6513 </t>
  </si>
  <si>
    <t xml:space="preserve">If H2 bought:
0.2930 </t>
  </si>
  <si>
    <t>50 - 1000 kW_el</t>
  </si>
  <si>
    <t>1 (minimum load)</t>
  </si>
  <si>
    <t>2 (nominal load)</t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</si>
  <si>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1.9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2.1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</si>
  <si>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10.3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</si>
  <si>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3.3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3.6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</si>
  <si>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20.5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</si>
  <si>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4.4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4.7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</si>
  <si>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30.7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</si>
  <si>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10.4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11.3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</si>
  <si>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61.4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60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</si>
  <si>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17.8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18.9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</si>
  <si>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101.6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100.0</t>
    </r>
  </si>
  <si>
    <r>
      <rPr>
        <b/>
        <sz val="11"/>
        <color theme="1"/>
        <rFont val="Calibri"/>
        <family val="2"/>
        <scheme val="minor"/>
      </rPr>
      <t>Condensing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137.7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150.0</t>
    </r>
  </si>
  <si>
    <r>
      <rPr>
        <b/>
        <sz val="11"/>
        <color theme="1"/>
        <rFont val="Calibri"/>
        <family val="2"/>
        <scheme val="minor"/>
      </rPr>
      <t>Condensing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475.0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500.0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</si>
  <si>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2632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2500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</si>
  <si>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10554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10000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</si>
  <si>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7897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7500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</si>
  <si>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31663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30000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</si>
  <si>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6.5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6.0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</si>
  <si>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21.1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</si>
  <si>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11.1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10.4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</si>
  <si>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14.3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13.5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</si>
  <si>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36.8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35.0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</si>
  <si>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47.2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45.0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</si>
  <si>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63.0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60.0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</si>
  <si>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19.0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18.0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</si>
  <si>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84.3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80.0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</si>
  <si>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25.5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24.0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</si>
  <si>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31.3 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29.7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</si>
  <si>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103.9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99.0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</si>
  <si>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37.7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36.0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</si>
  <si>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125.4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120.0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</si>
  <si>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42.2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39.0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</si>
  <si>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140.5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130.0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</si>
  <si>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48.4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44.7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</si>
  <si>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161.1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149.0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</si>
  <si>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58.4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54.0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</si>
  <si>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194.6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180.0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</si>
  <si>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64.6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59.7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</si>
  <si>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215.1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199.0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</si>
  <si>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78.1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74.7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</si>
  <si>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259.9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249.0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</si>
  <si>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313.1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299.0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</si>
  <si>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75.0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71.8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</si>
  <si>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87.5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83.8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</si>
  <si>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365.4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349.0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</si>
  <si>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125.1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119.7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</si>
  <si>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424.0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399.0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</si>
  <si>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140.8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134.7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</si>
  <si>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477.2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449.0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</si>
  <si>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156.4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149.7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</si>
  <si>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534.3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499.0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</si>
  <si>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648.6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600.0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</si>
  <si>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194.6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180.0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</si>
  <si>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254.0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240.0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</si>
  <si>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858.4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800.0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</si>
  <si>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317.5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300.0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</si>
  <si>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1097.7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</si>
  <si>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397.7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375.0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</si>
  <si>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1338.3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1250.0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</si>
  <si>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477.2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450.0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</si>
  <si>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1619.9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1500.0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</si>
  <si>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3.2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3.0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</si>
  <si>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10.8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</si>
  <si>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4.5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4.2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</si>
  <si>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15.1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14.0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</si>
  <si>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6.7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6.0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</si>
  <si>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19.4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18.0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</si>
  <si>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6.4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6.0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</si>
  <si>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21.5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</si>
  <si>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9.7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9.0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</si>
  <si>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32.3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30.0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</si>
  <si>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14.2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13.5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</si>
  <si>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46.7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45.0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</si>
  <si>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18.9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18.0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</si>
  <si>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62.4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60.0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</si>
  <si>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22.1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21.1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</si>
  <si>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72.9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70.0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</si>
  <si>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25.2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24.0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</si>
  <si>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83.5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80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</si>
  <si>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31.0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29.7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</si>
  <si>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103.3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99.0</t>
    </r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</si>
  <si>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32.9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31.5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</si>
  <si>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109.6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105.0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</si>
  <si>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0.133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0.770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</si>
  <si>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1.15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5.00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</si>
  <si>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0.265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1.54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</si>
  <si>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2.31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</si>
  <si>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0.531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3.08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</si>
  <si>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4.62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</si>
  <si>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0.796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4.62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</si>
  <si>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6.93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</si>
  <si>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1.06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6.16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</si>
  <si>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9.24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</si>
  <si>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1.33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7.70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</si>
  <si>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11.6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</si>
  <si>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1.59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9.24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</si>
  <si>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13.9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60.0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</si>
  <si>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2.11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12.3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</si>
  <si>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18.7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80.0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</si>
  <si>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2.61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15.4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</si>
  <si>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22.6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</si>
  <si>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7.77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46.2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</si>
  <si>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67.7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</si>
  <si>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12.8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76.7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</si>
  <si>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111.4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</si>
  <si>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24.7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153.7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</si>
  <si>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217.4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</si>
  <si>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44.9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307.3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</si>
  <si>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429.2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</si>
  <si>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112.2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768.3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</si>
  <si>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1073.0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5000.0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</si>
  <si>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224.3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1536.6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</si>
  <si>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2145.9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</si>
  <si>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448.6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3073.2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</si>
  <si>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4291.8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20000.0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</si>
  <si>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1121.6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7683.1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</si>
  <si>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10729.6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50000.0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</si>
  <si>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0.60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2.42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</si>
  <si>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1.49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</si>
  <si>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1.22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4.80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</si>
  <si>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2.84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</si>
  <si>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2.29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9.43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</si>
  <si>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5.76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</si>
  <si>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2.49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12.0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</si>
  <si>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8.36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</si>
  <si>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3.39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16.1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</si>
  <si>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11.8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</si>
  <si>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3.99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20.4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</si>
  <si>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15.3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</si>
  <si>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2.34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9.2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</si>
  <si>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19.4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60.0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</si>
  <si>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2.47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12.3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</si>
  <si>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26.5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80.0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</si>
  <si>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3.36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15.5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</si>
  <si>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33.9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</si>
  <si>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9.89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46.1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</si>
  <si>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91.7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</si>
  <si>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35.6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254.9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</si>
  <si>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289.0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1000.0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</si>
  <si>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71.2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509.7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</si>
  <si>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578.0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2000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</si>
  <si>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178.0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1274.4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</si>
  <si>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1445.1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5000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</si>
  <si>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356.0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2548.7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</si>
  <si>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2890.2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10000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</si>
  <si>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5780.3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20000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</si>
  <si>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711.9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5097.5</t>
    </r>
  </si>
  <si>
    <t>k1: 0.86225
k2: -0.23558</t>
  </si>
  <si>
    <t>k3: -33.445</t>
  </si>
  <si>
    <r>
      <rPr>
        <b/>
        <sz val="11"/>
        <color theme="1"/>
        <rFont val="Calibri"/>
        <family val="2"/>
        <scheme val="minor"/>
      </rPr>
      <t>Example 1 MW_el_input
1_EE_input</t>
    </r>
    <r>
      <rPr>
        <sz val="11"/>
        <color theme="1"/>
        <rFont val="Calibri"/>
        <family val="2"/>
        <scheme val="minor"/>
      </rPr>
      <t xml:space="preserve">: 500
</t>
    </r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>: 253.3</t>
    </r>
  </si>
  <si>
    <r>
      <rPr>
        <b/>
        <sz val="11"/>
        <color theme="1"/>
        <rFont val="Calibri"/>
        <family val="2"/>
        <scheme val="minor"/>
      </rPr>
      <t>Example 1 MW_el_input
2_EE_input</t>
    </r>
    <r>
      <rPr>
        <sz val="11"/>
        <color theme="1"/>
        <rFont val="Calibri"/>
        <family val="2"/>
        <scheme val="minor"/>
      </rPr>
      <t xml:space="preserve">: 1000
</t>
    </r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>: 666.2</t>
    </r>
  </si>
  <si>
    <t>k1: 0.65665
k2: -0.0042750</t>
  </si>
  <si>
    <t>k3: -35.136</t>
  </si>
  <si>
    <r>
      <rPr>
        <b/>
        <sz val="11"/>
        <color theme="1"/>
        <rFont val="Calibri"/>
        <family val="2"/>
        <scheme val="minor"/>
      </rPr>
      <t>Example 1 MW_el_input
1_EE_input</t>
    </r>
    <r>
      <rPr>
        <sz val="11"/>
        <color theme="1"/>
        <rFont val="Calibri"/>
        <family val="2"/>
        <scheme val="minor"/>
      </rPr>
      <t xml:space="preserve">: 100
</t>
    </r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>: 56.8</t>
    </r>
  </si>
  <si>
    <r>
      <rPr>
        <b/>
        <sz val="11"/>
        <color theme="1"/>
        <rFont val="Calibri"/>
        <family val="2"/>
        <scheme val="minor"/>
      </rPr>
      <t>Example 1 MW_el_input
2_EE_input</t>
    </r>
    <r>
      <rPr>
        <sz val="11"/>
        <color theme="1"/>
        <rFont val="Calibri"/>
        <family val="2"/>
        <scheme val="minor"/>
      </rPr>
      <t xml:space="preserve">: 1000
</t>
    </r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>: 605.5</t>
    </r>
  </si>
  <si>
    <t>y = 4036.605 * x^(-0.182)</t>
  </si>
  <si>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ex. 1000 kW_th_cooling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26.0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 xml:space="preserve">: 210.0
</t>
    </r>
    <r>
      <rPr>
        <b/>
        <sz val="11"/>
        <color theme="1"/>
        <rFont val="Calibri"/>
        <family val="2"/>
        <scheme val="minor"/>
      </rPr>
      <t>AIR 
ex. 750 kW_th_cooling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28.0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157.4</t>
    </r>
  </si>
  <si>
    <r>
      <rPr>
        <b/>
        <sz val="11"/>
        <color theme="1"/>
        <rFont val="Calibri"/>
        <family val="2"/>
        <scheme val="minor"/>
      </rPr>
      <t xml:space="preserve">WATER
ex. 1000 kW_th_cooling
1_EE_input: </t>
    </r>
    <r>
      <rPr>
        <sz val="11"/>
        <color theme="1"/>
        <rFont val="Calibri"/>
        <family val="2"/>
        <scheme val="minor"/>
      </rPr>
      <t>181.2</t>
    </r>
    <r>
      <rPr>
        <b/>
        <sz val="11"/>
        <color theme="1"/>
        <rFont val="Calibri"/>
        <family val="2"/>
        <scheme val="minor"/>
      </rPr>
      <t xml:space="preserve">
1_Cooling: </t>
    </r>
    <r>
      <rPr>
        <sz val="11"/>
        <color theme="1"/>
        <rFont val="Calibri"/>
        <family val="2"/>
        <scheme val="minor"/>
      </rPr>
      <t>1000.0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AIR 
ex. 750 kW_th_cooling
2_EE_input</t>
    </r>
    <r>
      <rPr>
        <sz val="11"/>
        <color theme="1"/>
        <rFont val="Calibri"/>
        <family val="2"/>
        <scheme val="minor"/>
      </rPr>
      <t xml:space="preserve">: 223.9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750.0</t>
    </r>
  </si>
  <si>
    <r>
      <rPr>
        <b/>
        <sz val="11"/>
        <color theme="1"/>
        <rFont val="Calibri"/>
        <family val="2"/>
        <scheme val="minor"/>
      </rPr>
      <t>1_Heat_input</t>
    </r>
    <r>
      <rPr>
        <sz val="11"/>
        <color theme="1"/>
        <rFont val="Calibri"/>
        <family val="2"/>
        <scheme val="minor"/>
      </rPr>
      <t xml:space="preserve">: 154.2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290.3</t>
    </r>
  </si>
  <si>
    <r>
      <rPr>
        <b/>
        <sz val="11"/>
        <color theme="1"/>
        <rFont val="Calibri"/>
        <family val="2"/>
        <scheme val="minor"/>
      </rPr>
      <t>2_Heat_input</t>
    </r>
    <r>
      <rPr>
        <sz val="11"/>
        <color theme="1"/>
        <rFont val="Calibri"/>
        <family val="2"/>
        <scheme val="minor"/>
      </rPr>
      <t xml:space="preserve">: 751.9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1161</t>
    </r>
  </si>
  <si>
    <r>
      <rPr>
        <b/>
        <sz val="11"/>
        <color theme="1"/>
        <rFont val="Calibri"/>
        <family val="2"/>
        <scheme val="minor"/>
      </rPr>
      <t>1_Heat_input</t>
    </r>
    <r>
      <rPr>
        <sz val="11"/>
        <color theme="1"/>
        <rFont val="Calibri"/>
        <family val="2"/>
        <scheme val="minor"/>
      </rPr>
      <t xml:space="preserve">: 602.7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1160.5</t>
    </r>
  </si>
  <si>
    <r>
      <rPr>
        <b/>
        <sz val="11"/>
        <color theme="1"/>
        <rFont val="Calibri"/>
        <family val="2"/>
        <scheme val="minor"/>
      </rPr>
      <t>2_Heat_input</t>
    </r>
    <r>
      <rPr>
        <sz val="11"/>
        <color theme="1"/>
        <rFont val="Calibri"/>
        <family val="2"/>
        <scheme val="minor"/>
      </rPr>
      <t xml:space="preserve">: 2939.8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4642</t>
    </r>
  </si>
  <si>
    <r>
      <rPr>
        <b/>
        <sz val="11"/>
        <color theme="1"/>
        <rFont val="Calibri"/>
        <family val="2"/>
        <scheme val="minor"/>
      </rPr>
      <t>Ex. 1000 kW_cooling
1_Heat_input</t>
    </r>
    <r>
      <rPr>
        <sz val="11"/>
        <color theme="1"/>
        <rFont val="Calibri"/>
        <family val="2"/>
        <scheme val="minor"/>
      </rPr>
      <t xml:space="preserve">: 534.2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500</t>
    </r>
  </si>
  <si>
    <r>
      <rPr>
        <b/>
        <sz val="11"/>
        <color theme="1"/>
        <rFont val="Calibri"/>
        <family val="2"/>
        <scheme val="minor"/>
      </rPr>
      <t>Ex. 1000 kW_cooling
2_Heat_input</t>
    </r>
    <r>
      <rPr>
        <sz val="11"/>
        <color theme="1"/>
        <rFont val="Calibri"/>
        <family val="2"/>
        <scheme val="minor"/>
      </rPr>
      <t xml:space="preserve">: 1282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1000</t>
    </r>
  </si>
  <si>
    <t>size [kW_th or kW_el]</t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</si>
  <si>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4.20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2.80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1.00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</si>
  <si>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6.67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4.27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2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</si>
  <si>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10.5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7.01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2.50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</si>
  <si>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16.9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10.81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5.00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</si>
  <si>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21.0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14.0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5.00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</si>
  <si>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33.8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21.6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10.00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</si>
  <si>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56.6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38.9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15.0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</si>
  <si>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40.5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28.2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</si>
  <si>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65.8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42.5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20.0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</si>
  <si>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95.2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60.5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30.0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</si>
  <si>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91.9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62.2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25.0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</si>
  <si>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146.2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88.6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50.0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</si>
  <si>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174.8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107.5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50.0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</si>
  <si>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288.2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159.4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100.0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</si>
  <si>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463.0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275.0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150.0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</si>
  <si>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789.5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426.3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300.0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</si>
  <si>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668.4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345.6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250.0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</si>
  <si>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1234.6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607.4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500.0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</si>
  <si>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1326.3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655.2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500.0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</si>
  <si>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2381.0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1102.4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1000.0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</si>
  <si>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2531.6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1184.8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1000.0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</si>
  <si>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4608.3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2000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2000</t>
    </r>
  </si>
  <si>
    <r>
      <rPr>
        <b/>
        <sz val="11"/>
        <color theme="1"/>
        <rFont val="Calibri"/>
        <family val="2"/>
        <scheme val="minor"/>
      </rPr>
      <t>1_Biomass</t>
    </r>
    <r>
      <rPr>
        <sz val="11"/>
        <color theme="1"/>
        <rFont val="Calibri"/>
        <family val="2"/>
        <scheme val="minor"/>
      </rPr>
      <t xml:space="preserve">: 1253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1090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100</t>
    </r>
  </si>
  <si>
    <r>
      <rPr>
        <b/>
        <sz val="11"/>
        <color theme="1"/>
        <rFont val="Calibri"/>
        <family val="2"/>
        <scheme val="minor"/>
      </rPr>
      <t>2_Biomass</t>
    </r>
    <r>
      <rPr>
        <sz val="11"/>
        <color theme="1"/>
        <rFont val="Calibri"/>
        <family val="2"/>
        <scheme val="minor"/>
      </rPr>
      <t xml:space="preserve">: 5575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4279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1000</t>
    </r>
  </si>
  <si>
    <r>
      <rPr>
        <b/>
        <sz val="11"/>
        <color theme="1"/>
        <rFont val="Calibri"/>
        <family val="2"/>
        <scheme val="minor"/>
      </rPr>
      <t>1_Biomass</t>
    </r>
    <r>
      <rPr>
        <sz val="11"/>
        <color theme="1"/>
        <rFont val="Calibri"/>
        <family val="2"/>
        <scheme val="minor"/>
      </rPr>
      <t xml:space="preserve">: 6813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5972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500</t>
    </r>
  </si>
  <si>
    <r>
      <rPr>
        <b/>
        <sz val="11"/>
        <color theme="1"/>
        <rFont val="Calibri"/>
        <family val="2"/>
        <scheme val="minor"/>
      </rPr>
      <t>2_Biomass</t>
    </r>
    <r>
      <rPr>
        <sz val="11"/>
        <color theme="1"/>
        <rFont val="Calibri"/>
        <family val="2"/>
        <scheme val="minor"/>
      </rPr>
      <t xml:space="preserve">: 30316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23800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5000</t>
    </r>
  </si>
  <si>
    <r>
      <rPr>
        <b/>
        <sz val="11"/>
        <color theme="1"/>
        <rFont val="Calibri"/>
        <family val="2"/>
        <scheme val="minor"/>
      </rPr>
      <t>1_Biomass</t>
    </r>
    <r>
      <rPr>
        <sz val="11"/>
        <color theme="1"/>
        <rFont val="Calibri"/>
        <family val="2"/>
        <scheme val="minor"/>
      </rPr>
      <t xml:space="preserve">: 13625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11944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1000</t>
    </r>
  </si>
  <si>
    <r>
      <rPr>
        <b/>
        <sz val="11"/>
        <color theme="1"/>
        <rFont val="Calibri"/>
        <family val="2"/>
        <scheme val="minor"/>
      </rPr>
      <t>2_Biomass</t>
    </r>
    <r>
      <rPr>
        <sz val="11"/>
        <color theme="1"/>
        <rFont val="Calibri"/>
        <family val="2"/>
        <scheme val="minor"/>
      </rPr>
      <t xml:space="preserve">: 60632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47600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10000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</si>
  <si>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1.328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0.695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0.500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</si>
  <si>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2.632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0.868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1.500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</si>
  <si>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37.04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28.33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5.00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</si>
  <si>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94.34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34.91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50.00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</si>
  <si>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370.4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283.3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50.0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</si>
  <si>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943.4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349.1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500.0</t>
    </r>
  </si>
  <si>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 xml:space="preserve">: 1.882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0.894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0.800</t>
    </r>
  </si>
  <si>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 xml:space="preserve">: 11.905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5.714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5.000</t>
    </r>
  </si>
  <si>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 xml:space="preserve">: 22.30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 xml:space="preserve">: 8.07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>: 12.00</t>
    </r>
  </si>
  <si>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 xml:space="preserve">: 133.3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 xml:space="preserve">: 60.0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>: 60.0</t>
    </r>
  </si>
  <si>
    <t>Heat pump (air - water) Heating</t>
  </si>
  <si>
    <t>Heat pump (air - water) Cooling</t>
  </si>
  <si>
    <t>COP/EER</t>
  </si>
  <si>
    <t>Nom. eff_el or COP or EER</t>
  </si>
  <si>
    <t>Heat pump (water-water) Heating</t>
  </si>
  <si>
    <t>Heat pump (water-water) Cooling</t>
  </si>
  <si>
    <t>Geo Water-Water Heat Pump (Groundwater Well) Heating</t>
  </si>
  <si>
    <t>Geo Water-Water Heat Pump (Groundwater Well) Cooling</t>
  </si>
  <si>
    <t>Geo Brine–Water heat pump (Borehole probes) Heating</t>
  </si>
  <si>
    <t>Geo Brine–Water heat pump (Borehole probes) Cooling</t>
  </si>
  <si>
    <t>Geo Brine–Water heat pump (Collectors) Heating</t>
  </si>
  <si>
    <t>Geo Brine–Water heat pump (Collectors) Cooling</t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</si>
  <si>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0.137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1.23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</si>
  <si>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1.15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5.82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</si>
  <si>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0.274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2.45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</si>
  <si>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2.31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11.64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</si>
  <si>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0.547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4.90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</si>
  <si>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4.62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23.28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</si>
  <si>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0.821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7.36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</si>
  <si>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6.93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34.92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</si>
  <si>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1.10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9.81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</si>
  <si>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9.24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46.56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</si>
  <si>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1.37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12.26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</si>
  <si>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11.55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58.20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</si>
  <si>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1.64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14.34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</si>
  <si>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13.86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68.18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</si>
  <si>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2.25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19.83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</si>
  <si>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18.69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94.02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</si>
  <si>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2.70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24.01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</si>
  <si>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22.63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114.03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</si>
  <si>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9.09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71.11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</si>
  <si>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67.72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337.9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</si>
  <si>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14.49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112.1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</si>
  <si>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111.4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532.3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</si>
  <si>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30.69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216.4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</si>
  <si>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217.4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1030.4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</si>
  <si>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61.91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453.2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</si>
  <si>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429.2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2073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</si>
  <si>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154.8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1088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</si>
  <si>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1073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5182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</si>
  <si>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309.5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2176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</si>
  <si>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2146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10365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</si>
  <si>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619.1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4352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</si>
  <si>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4292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20730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</si>
  <si>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1548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10880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</si>
  <si>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10730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51824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</si>
  <si>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0.305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1.76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</si>
  <si>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1.48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3.94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</si>
  <si>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0.596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3.41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</si>
  <si>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2.84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7.95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</si>
  <si>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1.21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7.30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</si>
  <si>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5.76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16.25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</si>
  <si>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1.56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9.88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</si>
  <si>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8.36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23.06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</si>
  <si>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2.09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12.93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</si>
  <si>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11.80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32.68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</si>
  <si>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2.70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17.70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</si>
  <si>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15.34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45.40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</si>
  <si>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3.41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22.34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</si>
  <si>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19.35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57.29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</si>
  <si>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2.68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16.30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</si>
  <si>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26.49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77.35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</si>
  <si>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3.75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20.37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</si>
  <si>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33.90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96.61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</si>
  <si>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9.39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58.15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</si>
  <si>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91.76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276.2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</si>
  <si>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24.98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180.4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</si>
  <si>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289.0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878.6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</si>
  <si>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49.96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360.7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</si>
  <si>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578.0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1757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</si>
  <si>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124.9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901.9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</si>
  <si>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1445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4393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</si>
  <si>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249.8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1804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</si>
  <si>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2890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8786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</si>
  <si>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499.6
</t>
    </r>
    <r>
      <rPr>
        <b/>
        <sz val="11"/>
        <color theme="1"/>
        <rFont val="Calibri"/>
        <family val="2"/>
        <scheme val="minor"/>
      </rPr>
      <t>1_Cool</t>
    </r>
    <r>
      <rPr>
        <sz val="11"/>
        <color theme="1"/>
        <rFont val="Calibri"/>
        <family val="2"/>
        <scheme val="minor"/>
      </rPr>
      <t>: 3607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</si>
  <si>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5780
</t>
    </r>
    <r>
      <rPr>
        <b/>
        <sz val="11"/>
        <color theme="1"/>
        <rFont val="Calibri"/>
        <family val="2"/>
        <scheme val="minor"/>
      </rPr>
      <t>2_Cool</t>
    </r>
    <r>
      <rPr>
        <sz val="11"/>
        <color theme="1"/>
        <rFont val="Calibri"/>
        <family val="2"/>
        <scheme val="minor"/>
      </rPr>
      <t>: 17572</t>
    </r>
  </si>
  <si>
    <t>Geo Brine–Water heat pump (Hor. Collectors) Heating</t>
  </si>
  <si>
    <t>Heat pump (water-water) (large) Heating</t>
  </si>
  <si>
    <t>[138]</t>
  </si>
  <si>
    <t>Hoval UltraGas Description ® (15-100) Floor-standing gas condensing boiler</t>
  </si>
  <si>
    <t>https://edergen.be/uploads/downloads/Hoval-UltraGas-15-100-EN.pdf</t>
  </si>
  <si>
    <t>[139]</t>
  </si>
  <si>
    <t>Hoval TopGas Description ® classic (100,120) Wall-hanging gas condensing boiler</t>
  </si>
  <si>
    <t>https://cdn.hoval.com/topgas-classic-100-120-exa-en-25-hybris-original.pdf</t>
  </si>
  <si>
    <t>[140]</t>
  </si>
  <si>
    <t>Wood chip &amp; Pellet heating systems 20 – 150 kW - Technology &amp; Planning 2025</t>
  </si>
  <si>
    <t>https://www.kwb.net/fileadmin/media/EN/Technik_Planung_Anleitungen_PDF/KWB_T_P_EN_04_2025_Modul_E_Wood_chip_and_pellet_Heatings_system_20-150_kW.pdf</t>
  </si>
  <si>
    <t>[141]</t>
  </si>
  <si>
    <t>Mini Bio NE</t>
  </si>
  <si>
    <t>https://en.kostrzewa.com.pl/products/mini-bio-ne</t>
  </si>
  <si>
    <t>[142]</t>
  </si>
  <si>
    <t>[143]</t>
  </si>
  <si>
    <t>[144]</t>
  </si>
  <si>
    <t>[145]</t>
  </si>
  <si>
    <t>[146]</t>
  </si>
  <si>
    <t>[147]</t>
  </si>
  <si>
    <t>The tests of micro-CHP prototype with SI engine powered by LPG and natural gas</t>
  </si>
  <si>
    <t>https://www.combustion-engines.eu/pdf-142951-74319?filename=The+tests+of+micro_CHP.pdf</t>
  </si>
  <si>
    <t>[148]</t>
  </si>
  <si>
    <t>Totem Datasheets</t>
  </si>
  <si>
    <t>https://www.totem.energy/totem_gamma/</t>
  </si>
  <si>
    <t>[149]</t>
  </si>
  <si>
    <t>Turboden</t>
  </si>
  <si>
    <t>https://ee-ip.org/fileadmin/user_upload/DOCUMENTS/Content/15-COM.P-7-rev.7.pdf</t>
  </si>
  <si>
    <t>[150]</t>
  </si>
  <si>
    <t>Turboden: ORC Solutions for Cogeneration and District Heating</t>
  </si>
  <si>
    <t>https://iea.blob.core.windows.net/assets/imports/events/122/Alessandro_Foresti_2015_03_23_Kiev.pdf</t>
  </si>
  <si>
    <t>[151]</t>
  </si>
  <si>
    <t>Turboden References</t>
  </si>
  <si>
    <t>https://www.turboden.com/references</t>
  </si>
  <si>
    <t>[152]</t>
  </si>
  <si>
    <t>CBLE Firetube Boiler</t>
  </si>
  <si>
    <t>https://it.scribd.com/document/80458550/CB-7768-Gen-boiler-Efficiency-Tables</t>
  </si>
  <si>
    <t>[153]</t>
  </si>
  <si>
    <t>https://cleaverbrooks.com/Catalog/boilers/firetube/cble</t>
  </si>
  <si>
    <t>[154]</t>
  </si>
  <si>
    <t>Bosch Condens 7000F Boiler</t>
  </si>
  <si>
    <t>https://hmg-attachments.s3-eu-west-1.amazonaws.com/U91877_Datasheet.pdf?utm_source=chatgpt.com</t>
  </si>
  <si>
    <t>[155]</t>
  </si>
  <si>
    <t>VITOCROSSAL 200</t>
  </si>
  <si>
    <t>https://www.viessmann-us.com/content/dam/public-brands/ca/pdfs/gas-fired/vitocrossal_200-cm2_lg_gw6b_tdm.pdf/_jcr_content/renditions/original./vitocrossal_200-cm2_lg_gw6b_tdm.pdf</t>
  </si>
  <si>
    <t>[156]</t>
  </si>
  <si>
    <t>Efficiency analysis of 50 kWe SOFC systems fueled with biogas from waste water</t>
  </si>
  <si>
    <t>https://www.researchgate.net/publication/341720840_Efficiency_analysis_of_50_kWe_SOFC_systems_fueled_with_biogas_from_waste_water</t>
  </si>
  <si>
    <t>[157]</t>
  </si>
  <si>
    <t>Convion C60</t>
  </si>
  <si>
    <t>https://convion.fi/wp-content/uploads/2023/09/Convion_C60_brochure_2023.pdf</t>
  </si>
  <si>
    <t>[158]</t>
  </si>
  <si>
    <t>BLUEGEN -15</t>
  </si>
  <si>
    <t>https://bluegen.eu/wp-content/uploads/2022/09/Brochure_Bluegen_ENG_2022-09_v3_acc.pdf</t>
  </si>
  <si>
    <t>[159]</t>
  </si>
  <si>
    <t>The Bloom Energy Server 6.5</t>
  </si>
  <si>
    <t>https://www.bloomenergy.com/wp-content/uploads/bloom-energy-server-datasheet-2024.pdf</t>
  </si>
  <si>
    <t>[160]</t>
  </si>
  <si>
    <t>Solid oxide fuel cell hybrid system: a detailed review of an environmentally clean and efficient source of energy</t>
  </si>
  <si>
    <t>https://unige.iris.cineca.it/bitstream/11567/932321/1/1-s2.0-S0360544218323028-main.pdf</t>
  </si>
  <si>
    <t>[161]</t>
  </si>
  <si>
    <t>[162]</t>
  </si>
  <si>
    <t>[163]</t>
  </si>
  <si>
    <t>Zero-Emission Power Generation Solutions</t>
  </si>
  <si>
    <t>https://powercellgroup.com/segments/power-generation/</t>
  </si>
  <si>
    <t>https://ecp.ep.liu.se/index.php/sims/article/download/515/475/437</t>
  </si>
  <si>
    <t>Part load performance of PEM fuel cell and electrolyser stacks in hybrid energy system for offshore application</t>
  </si>
  <si>
    <t>[164]</t>
  </si>
  <si>
    <t>Direct Fired VAM XP Series</t>
  </si>
  <si>
    <t>https://www.thermaxglobal.com/wp-content/uploads/2024/09/Direct-Fired-Absorption-Chiller-XP-Brochure.pdf</t>
  </si>
  <si>
    <t>[165]</t>
  </si>
  <si>
    <t>RTC 3000-4000-5000-6000 RTC 8000-10000</t>
  </si>
  <si>
    <t>https://www.mechanicalresource.com/hubfs/Resource%20Center%20Files/White%20Papers/Riello/RTC%203000-4000-5000-6000%20RTC%208000-10000%20RTC%20USA%20INSTALLATION%2C%20OPERATION%20AND%20SERVICE%20MANUAL.pdf?hsLang=en</t>
  </si>
  <si>
    <t>[166]</t>
  </si>
  <si>
    <t>https://www.shareddocs.com/hvac/docs/1001/Public/0E/16DNH-Product-data-PD5-20090423.pdf</t>
  </si>
  <si>
    <t>[167]</t>
  </si>
  <si>
    <t>[168]</t>
  </si>
  <si>
    <t>[169]</t>
  </si>
  <si>
    <t>Mclyzer</t>
  </si>
  <si>
    <t>https://cellar-c2.services.clever-cloud.com/com-mcphy/uploads/2020/08/20.05.McPhy_Portfolio_ELY_McLyzer_EN.pdf</t>
  </si>
  <si>
    <t>[170]</t>
  </si>
  <si>
    <t>Hydrogen from large-scale electrolysis</t>
  </si>
  <si>
    <t>https://ucpcdn.thyssenkrupp.com/_binary/UCPthyssenkruppBAISUhdeChlorineEngineers/en/products/water-electrolysis-hydrogen-production/alkaline-water-electrolysis/link-thyssenkrupp_Hydrogen_Water_Electrolysis_and_green_chemicals.pdf</t>
  </si>
  <si>
    <t>[171]</t>
  </si>
  <si>
    <t>Highlights of alkaline electrolyzer development</t>
  </si>
  <si>
    <t>https://www.finh2.fi/wp-content/uploads/highlights-of-alkaline-electrolyzer-development.pdf</t>
  </si>
  <si>
    <t>[172]</t>
  </si>
  <si>
    <t>PEM Electrolyzers HyLYZER® Series</t>
  </si>
  <si>
    <t>https://www.accelerazero.com/sites/default/files/2023-03/Electrolyzer%20Technologies%20-%20Brochure%20-%20Accelera%20by%20Cummins%20-%2003%2003%202023_0.pdf?utm_campaign=newpower-accelera-tradeshows&amp;utm_content=&amp;utm_medium=qr-code</t>
  </si>
  <si>
    <t>[173]</t>
  </si>
  <si>
    <t>HyLYZER® 250/500</t>
  </si>
  <si>
    <t>https://www.accelerazero.com/sites/default/files/2025-11/Accelera_HyLYZER_250_500_spec_sheet_2025.pdf</t>
  </si>
  <si>
    <t>[174]</t>
  </si>
  <si>
    <t>HyLYZER® 400/500</t>
  </si>
  <si>
    <t>https://www.accelerazero.com/sites/default/files/2025-09/HyLYZER-500-spec-sheet-2025.pdf</t>
  </si>
  <si>
    <t>[175]</t>
  </si>
  <si>
    <t>HyLYZER® 1000</t>
  </si>
  <si>
    <t>https://www.accelerazero.com/sites/default/files/2025-09/HyLYZER-1000-spec-sheet-2025.pdf</t>
  </si>
  <si>
    <t>[176]</t>
  </si>
  <si>
    <t>Reliable &amp; HighPerformance PEM Electrolyser for the UK</t>
  </si>
  <si>
    <t>https://hydrogenindustryleaders.com/8-elogen-11-24.pdf</t>
  </si>
  <si>
    <t>[177]</t>
  </si>
  <si>
    <t>Ecodesign Datasheet Management</t>
  </si>
  <si>
    <t>https://ecodesign.tranetechnologies.com/ords/r/stsbx/ecodesigndatasheetmgmt/home</t>
  </si>
  <si>
    <t>[178]</t>
  </si>
  <si>
    <t>XStream™ RTWF Water-to-Water Heat Pump</t>
  </si>
  <si>
    <t>https://trane.eu/uk/equipment/product-details.html?prodId=224</t>
  </si>
  <si>
    <t>[179]</t>
  </si>
  <si>
    <t>City Advantage CXWF Water-to-Water Heat Pump</t>
  </si>
  <si>
    <t>https://trane.eu/uk/equipment/product-details.html?prodId=221</t>
  </si>
  <si>
    <t>[180]</t>
  </si>
  <si>
    <t>Sintesis Advantage CXAF Air-to-Water Heat Pump</t>
  </si>
  <si>
    <t>https://trane.eu/uk/equipment/product-details.html?prodId=216</t>
  </si>
  <si>
    <t>[181]</t>
  </si>
  <si>
    <t>Conquest CXAX Air-to-Water Heat Pump</t>
  </si>
  <si>
    <t>https://trane.eu/uk/equipment/product-details.html?prodId=215</t>
  </si>
  <si>
    <t>[182]</t>
  </si>
  <si>
    <t>[183]</t>
  </si>
  <si>
    <t>KWB Powerfire 1 - Wood chip biomass boiler</t>
  </si>
  <si>
    <t>https://www.kwb.net/en/products/wood-heating-systems/wood-chip-boilers/kwb-powerfire/</t>
  </si>
  <si>
    <t>[184]</t>
  </si>
  <si>
    <t>KWB Powerfire 2</t>
  </si>
  <si>
    <t>https://www.kwb.net/en/products/wood-heating-systems/wood-chip-boilers/kwb-powerfire-2/</t>
  </si>
  <si>
    <t>[185]</t>
  </si>
  <si>
    <t>BioFire 500-1500 P45S</t>
  </si>
  <si>
    <t>https://www.myriadproducts.co.uk/hubfs/Resource%20centre%20files/Biomass%20products%20-%20Datasheets/Datasheet%20BF%20500-1500kW%20P45S%20v1.0.pdf?hsLang=en</t>
  </si>
  <si>
    <t>[186]</t>
  </si>
  <si>
    <t>[187]</t>
  </si>
  <si>
    <t>Trane Leaf Air-to-Water Heat Pump</t>
  </si>
  <si>
    <t>https://trane.eu/uk/equipment/product-details.html?prodId=2110</t>
  </si>
  <si>
    <t xml:space="preserve">[188] </t>
  </si>
  <si>
    <t>LHV &amp; HHV for NG</t>
  </si>
  <si>
    <t>https://www.engineeringtoolbox.com/fuels-higher-calorific-values-d_169.html</t>
  </si>
  <si>
    <t xml:space="preserve">[189] </t>
  </si>
  <si>
    <t xml:space="preserve">Biomass-fired Organic Rankine Cycle combined heat and power systems - A. Guercio, R. Bini
</t>
  </si>
  <si>
    <t>[190]</t>
  </si>
  <si>
    <t>Establishment of a High Efficiency Electric Power System-- INER's 1 kW Solid Oxide Fuel Cell Power System</t>
  </si>
  <si>
    <t>https://www.nusc.gov.tw/english/About-NSC/Establishment-of-a-High-Efficiency-Electric-Power-System-INER-s-1-kW-Solid-Oxide-Fuel-Cell-Power-System-20080811-195.html</t>
  </si>
  <si>
    <t>[191]</t>
  </si>
  <si>
    <t>Thermal-electric cogeneration efficiency of 92.55% ranks first in the world. </t>
  </si>
  <si>
    <t>https://www.prnewswire.com/news-releases/thermal-electric-cogeneration-efficiency-of-92-55-ranks-first-in-the-world-weichai-releases-the-worlds-first-commercialized-high-power-metal-supported-sofc-product-301762592.html</t>
  </si>
  <si>
    <t>[192]</t>
  </si>
  <si>
    <t>[193]</t>
  </si>
  <si>
    <t>16DNH - Product Data</t>
  </si>
  <si>
    <t>GRUPPI REFRIGERANTI ALIMENTATI AD ACQUA CALDA 1 Specifiche tecniche - Yazaki</t>
  </si>
  <si>
    <t>https://maya-airconditioning.com/wp-content/uploads/2022/10/1_WFC_MBCE1_Specifiche_tecniche_ver_1_22.pdf</t>
  </si>
  <si>
    <t>PRODUCT CATALOGUE FOR ABSORPTION MACHINES Chillers and Heat pumps</t>
  </si>
  <si>
    <t>https://documentos.mollier.pt/thermax/catalogue2024_tac_l1_eng.pdf</t>
  </si>
  <si>
    <t xml:space="preserve">[161] </t>
  </si>
  <si>
    <t>start [47]
shut [145][146]</t>
  </si>
  <si>
    <t>start [142][143]  
shut [144][186]</t>
  </si>
  <si>
    <t>[194]</t>
  </si>
  <si>
    <t>[195]</t>
  </si>
  <si>
    <t>[196]</t>
  </si>
  <si>
    <t>[197]</t>
  </si>
  <si>
    <t>[198]</t>
  </si>
  <si>
    <t>start &amp; shut [194]
start &amp; shut [104]</t>
  </si>
  <si>
    <t>[59]
[196]</t>
  </si>
  <si>
    <t>[60]
[196]</t>
  </si>
  <si>
    <t>[197] [198]</t>
  </si>
  <si>
    <t>[199]</t>
  </si>
  <si>
    <t>[200]</t>
  </si>
  <si>
    <t>[201]</t>
  </si>
  <si>
    <t>[202]</t>
  </si>
  <si>
    <t xml:space="preserve">start [193][199]  
shut [193][199] </t>
  </si>
  <si>
    <t>start [101][200]
shut [75] [76]</t>
  </si>
  <si>
    <t>start [47][201]
shut [77]</t>
  </si>
  <si>
    <t>var [calc] with data from [122][123][124],fix [202]</t>
  </si>
  <si>
    <t>[203]</t>
  </si>
  <si>
    <t>[204]</t>
  </si>
  <si>
    <t>[205]</t>
  </si>
  <si>
    <t>[206]</t>
  </si>
  <si>
    <t>[207]</t>
  </si>
  <si>
    <t>[208]</t>
  </si>
  <si>
    <t>[204]
[26]
[87]</t>
  </si>
  <si>
    <t>[49]
[204]
[117]</t>
  </si>
  <si>
    <t>start [204], shut [96]
start [204], shut [97]</t>
  </si>
  <si>
    <t>[204]
[25][204]</t>
  </si>
  <si>
    <t>var [204], fix [204], cost of H2 for start (in Italy) [82]</t>
  </si>
  <si>
    <t>start [204][72]
shut [68]</t>
  </si>
  <si>
    <t xml:space="preserve">
[204]</t>
  </si>
  <si>
    <t>[28][204]</t>
  </si>
  <si>
    <t>var [132][133] [calc] from [122][135], fix [204]</t>
  </si>
  <si>
    <t>start [70] [204]
shut [73]</t>
  </si>
  <si>
    <t>[1][204]</t>
  </si>
  <si>
    <t>[58]
[103] power block
[204] p. b.</t>
  </si>
  <si>
    <t>[21]
[109]
[204]
[119] 100 MW 8h
[24]</t>
  </si>
  <si>
    <t>var [109]
fix [24][204]</t>
  </si>
  <si>
    <t>[206][207]</t>
  </si>
  <si>
    <t>[209]</t>
  </si>
  <si>
    <t>start [47][209]
shut [64][182][209]</t>
  </si>
  <si>
    <t>From MODECO – Modelling study on the role of energy communities in the energy transition:</t>
  </si>
  <si>
    <t>https://publications.jrc.ec.europa.eu/repository/bitstream/JRC132896/JRC132896_01.pdf</t>
  </si>
  <si>
    <t>Adattata:</t>
  </si>
  <si>
    <t>Risultato in €/(kW_el*start)</t>
  </si>
  <si>
    <t>o più in generale</t>
  </si>
  <si>
    <t>eff_el</t>
  </si>
  <si>
    <t>fuel cost [€/kWh_el]</t>
  </si>
  <si>
    <t xml:space="preserve">small </t>
  </si>
  <si>
    <t>mid</t>
  </si>
  <si>
    <t>big</t>
  </si>
  <si>
    <t>eff_th</t>
  </si>
  <si>
    <t>fuel cost [€/kWh_th]</t>
  </si>
  <si>
    <t>start_up</t>
  </si>
  <si>
    <t>%maint opex</t>
  </si>
  <si>
    <t>mainenance hours per year</t>
  </si>
  <si>
    <t>20/60 h</t>
  </si>
  <si>
    <t>ref maint%</t>
  </si>
  <si>
    <t>https://coalbiomassboiler.com/industrial-biomass-boiler-costs/?utm_source=chatgpt.com</t>
  </si>
  <si>
    <t>ref maint h</t>
  </si>
  <si>
    <t>https://nachhaltigwirtschaften.at/resources/iea_pdf/reports/iea_bioenergy_task32_tea_chp_applications_2015.pdf</t>
  </si>
  <si>
    <t>https://www.slideshare.net/slideshow/irena-renewable-power-generation-costs-report-2022/260292013</t>
  </si>
  <si>
    <t>ORC</t>
  </si>
  <si>
    <t>15/60 h</t>
  </si>
  <si>
    <t>https://s3-eu-west-1.amazonaws.com/static.wm3.se/sites/400/media/516201_Report-on-performance-efficiency-security-ORC-2020.pdf?1606723986=&amp;</t>
  </si>
  <si>
    <t>NG boil</t>
  </si>
  <si>
    <t>2/60 h</t>
  </si>
  <si>
    <t>due to lack of data -&gt; hypotesis:</t>
  </si>
  <si>
    <t>1h</t>
  </si>
  <si>
    <t>COP</t>
  </si>
  <si>
    <t>start_up [h]</t>
  </si>
  <si>
    <t>Abs chiller</t>
  </si>
  <si>
    <t>big - steam</t>
  </si>
  <si>
    <t>ref:</t>
  </si>
  <si>
    <t>https://iea-etsap.org/E-TechDS/PDF/R02%20Heating%20and%20cooling%20FINAL_GSOK.pdf</t>
  </si>
  <si>
    <t>big - hot water</t>
  </si>
  <si>
    <t>https://www.ashrae.org/technical-resources/ashrae-handbook</t>
  </si>
  <si>
    <t>https://www.lg-b2b.ru/upload/iblock/041/3-absorbtsionnye-c-vodyanym-nagrevom-english-om.pdf</t>
  </si>
  <si>
    <t xml:space="preserve">Start up cost </t>
  </si>
  <si>
    <t>OPEX</t>
  </si>
  <si>
    <t>hot water</t>
  </si>
  <si>
    <t>steam</t>
  </si>
  <si>
    <t>Com chiller</t>
  </si>
  <si>
    <t>big - air</t>
  </si>
  <si>
    <t>https://www.energy.gov/femp/technical-operations-and-maintenance-guidelines-common-water-equipment</t>
  </si>
  <si>
    <t>big - water</t>
  </si>
  <si>
    <t>https://betterbuildingssolutioncenter.energy.gov/resources/ansiashraeacca-standard-180-standard-practice-inspection-and-maintenance-commercial</t>
  </si>
  <si>
    <t>Start up air</t>
  </si>
  <si>
    <t>Start up cost water</t>
  </si>
  <si>
    <t>https://www.irena.org/publications/2020/Dec/Green-hydrogen-cost-reduction</t>
  </si>
  <si>
    <t>Alk electrolyzer</t>
  </si>
  <si>
    <t>2.5/60 h</t>
  </si>
  <si>
    <t>https://www.researchgate.net/publication/319617417_Current_status_of_water_electrolysis_for_energy_storage_grid_balancing_and_sector_coupling_via_power-to-gas_and_power-to-liquids_A_review</t>
  </si>
  <si>
    <t>https://www.iea.org/reports/the-future-of-hydrogen</t>
  </si>
  <si>
    <t>PEM electrolyzer</t>
  </si>
  <si>
    <t>0.5/60 h</t>
  </si>
  <si>
    <t>https://www.h2it.it/wp-content/uploads/2019/07/IEA2019_The_Future_of_Hydrogen-1.pdf</t>
  </si>
  <si>
    <t>https://www.researchgate.net/publication/321682272_Future_cost_and_performance_of_water_electrolysis_An_expert_elicitation_study</t>
  </si>
  <si>
    <t>https://link.springer.com/article/10.1007/s41471-021-00114-8</t>
  </si>
  <si>
    <t>https://www.seai.ie/sites/default/files/publications/Heat-Pump-Operation-and-Maintenance-Guide.pdf</t>
  </si>
  <si>
    <t>HP</t>
  </si>
  <si>
    <t>a-w</t>
  </si>
  <si>
    <t>4/60 h</t>
  </si>
  <si>
    <t>https://www.alpha-innotec.com/en/knowledge-base/heat-pump-knowledge-center/heat-pump-care-and-maintenance</t>
  </si>
  <si>
    <t>w-w</t>
  </si>
  <si>
    <t>https://www.electricireland.ie/residential/products/heat-pump-solutions</t>
  </si>
  <si>
    <t>geo</t>
  </si>
  <si>
    <t>https://studylib.net/doc/8426696/best-practice-guide-heat-pump-technologies</t>
  </si>
  <si>
    <t>https://heatpumpingtechnologies.org/publications/final-report-part-3-annex-32-economical-heating-and-cooling-systems-for-low-energy-houses/</t>
  </si>
  <si>
    <t>https://www.mdpi.com/1996-1073/14/16/4963/htm</t>
  </si>
  <si>
    <t>SOFC</t>
  </si>
  <si>
    <t>https://www.researchgate.net/publication/389008620_Maintenance_costs_of_Solid_Oxide_Fuel_Cell_SOFC_module</t>
  </si>
  <si>
    <t>PEMFC</t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</si>
  <si>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0.5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-0.030634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0.51032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</si>
  <si>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0.16366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0.79678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</si>
  <si>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0.5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0.21744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0.16385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</si>
  <si>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0.44068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0.37334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</si>
  <si>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0.5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0.15989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0.24591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</si>
  <si>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0.39407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0.44966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</si>
  <si>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0.30015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0.55985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</si>
  <si>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0.17358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0.72642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</si>
  <si>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0.1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-0.40661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0.49661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</si>
  <si>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0.1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-0.54265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0.63265</t>
    </r>
  </si>
  <si>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0.12125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0.01375</t>
    </r>
  </si>
  <si>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0.48392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0.41608</t>
    </r>
  </si>
  <si>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0.10254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0.03246</t>
    </r>
  </si>
  <si>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0.48054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0.41946</t>
    </r>
  </si>
  <si>
    <r>
      <rPr>
        <b/>
        <sz val="11"/>
        <color theme="1"/>
        <rFont val="Calibri"/>
        <family val="2"/>
        <scheme val="minor"/>
      </rPr>
      <t>1_Biomass</t>
    </r>
    <r>
      <rPr>
        <sz val="11"/>
        <color theme="1"/>
        <rFont val="Calibri"/>
        <family val="2"/>
        <scheme val="minor"/>
      </rPr>
      <t xml:space="preserve">: 0.1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-0.14892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0.24392</t>
    </r>
  </si>
  <si>
    <r>
      <rPr>
        <b/>
        <sz val="11"/>
        <color theme="1"/>
        <rFont val="Calibri"/>
        <family val="2"/>
        <scheme val="minor"/>
      </rPr>
      <t>2_Biomass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0.03345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0.91655</t>
    </r>
  </si>
  <si>
    <r>
      <rPr>
        <b/>
        <sz val="11"/>
        <color theme="1"/>
        <rFont val="Calibri"/>
        <family val="2"/>
        <scheme val="minor"/>
      </rPr>
      <t>1_Biomass</t>
    </r>
    <r>
      <rPr>
        <sz val="11"/>
        <color theme="1"/>
        <rFont val="Calibri"/>
        <family val="2"/>
        <scheme val="minor"/>
      </rPr>
      <t xml:space="preserve">: 0.1
</t>
    </r>
    <r>
      <rPr>
        <b/>
        <sz val="11"/>
        <color theme="1"/>
        <rFont val="Calibri"/>
        <family val="2"/>
        <scheme val="minor"/>
      </rPr>
      <t>1_EE</t>
    </r>
    <r>
      <rPr>
        <sz val="11"/>
        <color theme="1"/>
        <rFont val="Calibri"/>
        <family val="2"/>
        <scheme val="minor"/>
      </rPr>
      <t xml:space="preserve">: -0.10877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0.20377</t>
    </r>
  </si>
  <si>
    <r>
      <rPr>
        <b/>
        <sz val="11"/>
        <color theme="1"/>
        <rFont val="Calibri"/>
        <family val="2"/>
        <scheme val="minor"/>
      </rPr>
      <t>2_Biomass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2_EE</t>
    </r>
    <r>
      <rPr>
        <sz val="11"/>
        <color theme="1"/>
        <rFont val="Calibri"/>
        <family val="2"/>
        <scheme val="minor"/>
      </rPr>
      <t xml:space="preserve">: 0.06223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0.88777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</si>
  <si>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0.97956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</si>
  <si>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0.21310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</si>
  <si>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0.2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0.22323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</si>
  <si>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1.05387</t>
    </r>
  </si>
  <si>
    <r>
      <rPr>
        <b/>
        <sz val="11"/>
        <color theme="1"/>
        <rFont val="Calibri"/>
        <family val="2"/>
        <scheme val="minor"/>
      </rPr>
      <t>1_NG</t>
    </r>
    <r>
      <rPr>
        <sz val="11"/>
        <color theme="1"/>
        <rFont val="Calibri"/>
        <family val="2"/>
        <scheme val="minor"/>
      </rPr>
      <t xml:space="preserve">: 0.25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0.24235</t>
    </r>
  </si>
  <si>
    <r>
      <rPr>
        <b/>
        <sz val="11"/>
        <color theme="1"/>
        <rFont val="Calibri"/>
        <family val="2"/>
        <scheme val="minor"/>
      </rPr>
      <t>2_NG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0.94924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</si>
  <si>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0.4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1.29345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</si>
  <si>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2.94779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</si>
  <si>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0.47359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</si>
  <si>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2.90511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</si>
  <si>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0.55154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</si>
  <si>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3.17534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</si>
  <si>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0.25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0.86185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</si>
  <si>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3.05023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</si>
  <si>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0.70786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</si>
  <si>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4.45357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</si>
  <si>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0.69888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</si>
  <si>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4.28669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</si>
  <si>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0.66218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</si>
  <si>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4.24880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</si>
  <si>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0.3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0.28747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</si>
  <si>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0.95620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</si>
  <si>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0.3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0.28050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</si>
  <si>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0.92479</t>
    </r>
  </si>
  <si>
    <t>10 - 150 kW_th</t>
  </si>
  <si>
    <r>
      <rPr>
        <b/>
        <sz val="11"/>
        <color theme="1"/>
        <rFont val="Calibri"/>
        <family val="2"/>
        <scheme val="minor"/>
      </rPr>
      <t>1_Pellet</t>
    </r>
    <r>
      <rPr>
        <sz val="11"/>
        <color theme="1"/>
        <rFont val="Calibri"/>
        <family val="2"/>
        <scheme val="minor"/>
      </rPr>
      <t xml:space="preserve">: 0.3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0.27807</t>
    </r>
  </si>
  <si>
    <r>
      <rPr>
        <b/>
        <sz val="11"/>
        <color theme="1"/>
        <rFont val="Calibri"/>
        <family val="2"/>
        <scheme val="minor"/>
      </rPr>
      <t>2_Pellet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0.94462</t>
    </r>
  </si>
  <si>
    <r>
      <rPr>
        <b/>
        <sz val="11"/>
        <color theme="1"/>
        <rFont val="Calibri"/>
        <family val="2"/>
        <scheme val="minor"/>
      </rPr>
      <t>1_WoodChips</t>
    </r>
    <r>
      <rPr>
        <sz val="11"/>
        <color theme="1"/>
        <rFont val="Calibri"/>
        <family val="2"/>
        <scheme val="minor"/>
      </rPr>
      <t xml:space="preserve">: 0.25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0.43076</t>
    </r>
  </si>
  <si>
    <r>
      <rPr>
        <b/>
        <sz val="11"/>
        <color theme="1"/>
        <rFont val="Calibri"/>
        <family val="2"/>
        <scheme val="minor"/>
      </rPr>
      <t>2_WoodChips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1.54761</t>
    </r>
  </si>
  <si>
    <r>
      <rPr>
        <b/>
        <sz val="11"/>
        <color theme="1"/>
        <rFont val="Calibri"/>
        <family val="2"/>
        <scheme val="minor"/>
      </rPr>
      <t>1_Heat_input</t>
    </r>
    <r>
      <rPr>
        <sz val="11"/>
        <color theme="1"/>
        <rFont val="Calibri"/>
        <family val="2"/>
        <scheme val="minor"/>
      </rPr>
      <t xml:space="preserve">: 0.5
</t>
    </r>
    <r>
      <rPr>
        <b/>
        <sz val="11"/>
        <color theme="1"/>
        <rFont val="Calibri"/>
        <family val="2"/>
        <scheme val="minor"/>
      </rPr>
      <t>1_Heat</t>
    </r>
    <r>
      <rPr>
        <sz val="11"/>
        <color theme="1"/>
        <rFont val="Calibri"/>
        <family val="2"/>
        <scheme val="minor"/>
      </rPr>
      <t>: 0.49445</t>
    </r>
  </si>
  <si>
    <r>
      <rPr>
        <b/>
        <sz val="11"/>
        <color theme="1"/>
        <rFont val="Calibri"/>
        <family val="2"/>
        <scheme val="minor"/>
      </rPr>
      <t>2_Heat_input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2_Heat</t>
    </r>
    <r>
      <rPr>
        <sz val="11"/>
        <color theme="1"/>
        <rFont val="Calibri"/>
        <family val="2"/>
        <scheme val="minor"/>
      </rPr>
      <t>: 0.84112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</si>
  <si>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0.38
</t>
    </r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>: 0.092072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</si>
  <si>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>: 0.62667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</si>
  <si>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
</t>
    </r>
    <r>
      <rPr>
        <b/>
        <sz val="11"/>
        <color theme="1"/>
        <rFont val="Calibri"/>
        <family val="2"/>
        <scheme val="minor"/>
      </rPr>
      <t>1_H2</t>
    </r>
    <r>
      <rPr>
        <sz val="11"/>
        <color theme="1"/>
        <rFont val="Calibri"/>
        <family val="2"/>
        <scheme val="minor"/>
      </rPr>
      <t>: 0.061390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</si>
  <si>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2_H2</t>
    </r>
    <r>
      <rPr>
        <sz val="11"/>
        <color theme="1"/>
        <rFont val="Calibri"/>
        <family val="2"/>
        <scheme val="minor"/>
      </rPr>
      <t>: 0.65237</t>
    </r>
  </si>
  <si>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(&lt;150 kW_th)
1_EE_input: 0.2
1_Cooling: 1.0252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(&lt;700 kW_th)
1_EE_input: 0.2
1_Cooling: 0.9636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(&gt;700 kW_th)
1_EE_input: 0.2
1_Cooling: 1.1574
</t>
    </r>
    <r>
      <rPr>
        <b/>
        <sz val="11"/>
        <color theme="1"/>
        <rFont val="Calibri"/>
        <family val="2"/>
        <scheme val="minor"/>
      </rPr>
      <t>AIR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(&lt;90 kW_th)
1_EE_input: 0.2
1_Cooling: 0.6568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(&lt;300 kW_th)
1_EE_input: 0.2
1_Cooling: 0.6910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(&gt;300 kW_th)
1_EE_input: 0.2
1_Cooling: 0.6927</t>
    </r>
  </si>
  <si>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(&lt;150 kW_th)
2_EE_input: 1
2_Cooling: 4.6855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(&lt;700 kW_th)
2_EE_input: 1
2_Cooling: 4.4818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(&gt;700 kW_th)
2_EE_input: 1
2_Cooling: 5.4371
</t>
    </r>
    <r>
      <rPr>
        <b/>
        <sz val="11"/>
        <color theme="1"/>
        <rFont val="Calibri"/>
        <family val="2"/>
        <scheme val="minor"/>
      </rPr>
      <t>AIR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(&lt;90 kW_th)
2_EE_input: 1
2_Cooling: 2.8011
</t>
    </r>
    <r>
      <rPr>
        <u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(&lt;300 kW_th)
2_EE_input: 1
2_Cooling: 2.9173
</t>
    </r>
    <r>
      <rPr>
        <u/>
        <sz val="11"/>
        <color theme="1"/>
        <rFont val="Calibri"/>
        <family val="2"/>
        <scheme val="minor"/>
      </rPr>
      <t>Big</t>
    </r>
    <r>
      <rPr>
        <sz val="11"/>
        <color theme="1"/>
        <rFont val="Calibri"/>
        <family val="2"/>
        <scheme val="minor"/>
      </rPr>
      <t xml:space="preserve"> (&gt;300 kW_th)
2_EE_input: 1
2_Cooling: 3.001</t>
    </r>
  </si>
  <si>
    <t>3.97 - 45.40 kW_th</t>
  </si>
  <si>
    <t>45.40 - 96.61 kW_th</t>
  </si>
  <si>
    <t>96.61 - 276.15 kW_th</t>
  </si>
  <si>
    <t>276.15 - 17572.25 kW_th</t>
  </si>
  <si>
    <t>(size) / 2.96</t>
  </si>
  <si>
    <t>1030.43 - 51824.03 kW_th</t>
  </si>
  <si>
    <t>(size) / 4.80</t>
  </si>
  <si>
    <t>(size) / 4.98</t>
  </si>
  <si>
    <t>5.82 - 114.03 kW_th</t>
  </si>
  <si>
    <t>114.03 - 532.29 kW_th</t>
  </si>
  <si>
    <t>532.29 - 1030.43 kW_th</t>
  </si>
  <si>
    <t>k1: 4.5242
k2: 0.096807</t>
  </si>
  <si>
    <t>k3: 0.13396</t>
  </si>
  <si>
    <t>k1: 4.4949
k2: 0.066187</t>
  </si>
  <si>
    <t>k3: 5.6205</t>
  </si>
  <si>
    <t>k1: 4.4204
k2: 0.64674</t>
  </si>
  <si>
    <t>k3: 13.430</t>
  </si>
  <si>
    <t>k1: 2.0741
k2: 0.27785</t>
  </si>
  <si>
    <t>k3: -0.077502</t>
  </si>
  <si>
    <t>k1: 2.6141
k2: 0.14093</t>
  </si>
  <si>
    <t>k3: -2.6288</t>
  </si>
  <si>
    <t>k1: 2.6480
k2: 0.13319</t>
  </si>
  <si>
    <t>k3: -2.7332</t>
  </si>
  <si>
    <t>k1: 2.5413
k2: 0.045307</t>
  </si>
  <si>
    <t>k3: 49.395</t>
  </si>
  <si>
    <t>= (4/60) / 4.80 * 0.1899 + O&amp;M_fix * (0.25/35)</t>
  </si>
  <si>
    <t xml:space="preserve">= 0.03956 + CAPEX * (47% / (8760 * 97% * 20)) </t>
  </si>
  <si>
    <t>0.06416 (industrial)
0.09703 (residential)</t>
  </si>
  <si>
    <t>0.03813 (industrial)
0.05767 (residential)</t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</si>
  <si>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0.77544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</si>
  <si>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4.6210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</si>
  <si>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0.74041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</si>
  <si>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4.5610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</si>
  <si>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0.72773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</si>
  <si>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4.4850</t>
    </r>
  </si>
  <si>
    <t>Heat pump (water-water) (large) Cooling</t>
  </si>
  <si>
    <t>Geo Brine–Water heat pump (Hor. Collectors) Cooling</t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</si>
  <si>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0.4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1.1075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</si>
  <si>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2.3520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</si>
  <si>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0.53305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</si>
  <si>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2.7551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</si>
  <si>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0.15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0.53039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</si>
  <si>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2.7812</t>
    </r>
  </si>
  <si>
    <r>
      <rPr>
        <b/>
        <sz val="11"/>
        <color theme="1"/>
        <rFont val="Calibri"/>
        <family val="2"/>
        <scheme val="minor"/>
      </rPr>
      <t>1_EE_input</t>
    </r>
    <r>
      <rPr>
        <sz val="11"/>
        <color theme="1"/>
        <rFont val="Calibri"/>
        <family val="2"/>
        <scheme val="minor"/>
      </rPr>
      <t xml:space="preserve">: 0.25
</t>
    </r>
    <r>
      <rPr>
        <b/>
        <sz val="11"/>
        <color theme="1"/>
        <rFont val="Calibri"/>
        <family val="2"/>
        <scheme val="minor"/>
      </rPr>
      <t>1_Cooling</t>
    </r>
    <r>
      <rPr>
        <sz val="11"/>
        <color theme="1"/>
        <rFont val="Calibri"/>
        <family val="2"/>
        <scheme val="minor"/>
      </rPr>
      <t>: 0.68063</t>
    </r>
  </si>
  <si>
    <r>
      <rPr>
        <b/>
        <sz val="11"/>
        <color theme="1"/>
        <rFont val="Calibri"/>
        <family val="2"/>
        <scheme val="minor"/>
      </rPr>
      <t>2_EE_input</t>
    </r>
    <r>
      <rPr>
        <sz val="11"/>
        <color theme="1"/>
        <rFont val="Calibri"/>
        <family val="2"/>
        <scheme val="minor"/>
      </rPr>
      <t xml:space="preserve">: 1
</t>
    </r>
    <r>
      <rPr>
        <b/>
        <sz val="11"/>
        <color theme="1"/>
        <rFont val="Calibri"/>
        <family val="2"/>
        <scheme val="minor"/>
      </rPr>
      <t>2_Cooling</t>
    </r>
    <r>
      <rPr>
        <sz val="11"/>
        <color theme="1"/>
        <rFont val="Calibri"/>
        <family val="2"/>
        <scheme val="minor"/>
      </rPr>
      <t>: 2.8566</t>
    </r>
  </si>
  <si>
    <t>Heat pump large/industrial (water-water) Heating</t>
  </si>
  <si>
    <t>Heat pump  (air-water) Heating</t>
  </si>
  <si>
    <t>Geo Brine–Water Heat Pump (Borehole probes) Heating</t>
  </si>
  <si>
    <t>Heat pump  (air-water) Cooling</t>
  </si>
  <si>
    <t>Heat pump large/industrial (water-water) Cooling</t>
  </si>
  <si>
    <t>Geo Brine–Water Heat Pump (Borehole probes) Cooling</t>
  </si>
  <si>
    <t xml:space="preserve"> y = 4036.605 * x^(-0.182) * (3.26/2.96)^(-0.182)</t>
  </si>
  <si>
    <t>y = 71318.451 * x^(-0.455) * (4.60/4.80)^(-0.455)</t>
  </si>
  <si>
    <t>y = 6583.713 * x^(-0.257) * (4.30/4.98)^(-0.257)</t>
  </si>
  <si>
    <t>y = 8428.941 * x^(-0.249) * (4.30/4.98)^(-0.249)</t>
  </si>
  <si>
    <t>y = 7148.334 * x^(-0.244) * (4.30/4.98)^(-0.244)</t>
  </si>
  <si>
    <t xml:space="preserve">
if H2 bought:
0.7048 </t>
  </si>
  <si>
    <t xml:space="preserve">1000 - 10000 kW_th </t>
  </si>
  <si>
    <t>1000 - 20000 kW_th</t>
  </si>
  <si>
    <t>Ref</t>
  </si>
  <si>
    <t>CF</t>
  </si>
  <si>
    <t>https://www.researchgate.net/publication/390687407_Techno-Economic_Analysis_on_Implementing_Hydrogen_in_a_Combined_Heat_and_Power_Plant_in_Luxembourg_to_Reduce_Carbon_Emissions</t>
  </si>
  <si>
    <t>Lifetime</t>
  </si>
  <si>
    <t>Replacement %CAPEX</t>
  </si>
  <si>
    <t>References</t>
  </si>
  <si>
    <t>Replacement required:</t>
  </si>
  <si>
    <t>Turbocharger (cartridge or unit)</t>
  </si>
  <si>
    <t>Pistons</t>
  </si>
  <si>
    <t>Main bearings</t>
  </si>
  <si>
    <t>Heat-exchanger refurbishment</t>
  </si>
  <si>
    <t>After-treatment module</t>
  </si>
  <si>
    <t>Other BOP</t>
  </si>
  <si>
    <t>https://www.epa.gov/sites/default/files/2015-07/documents/catalog_of_chp_technologies_section_6._technology_characterization_-_fuel_cells.pdf</t>
  </si>
  <si>
    <t>https://www.mdpi.com/1996-1073/16/1/404</t>
  </si>
  <si>
    <t>https://ieafuelcell.com/output/technology-reports/high-temperature-fuel-cell-solid-oxide-fuel-cell-sofc</t>
  </si>
  <si>
    <t>https://www.sciencedirect.com/science/article/abs/pii/S030626192301228X</t>
  </si>
  <si>
    <t>BOP</t>
  </si>
  <si>
    <t>Heat-recovery module</t>
  </si>
  <si>
    <t>NG BOILERS</t>
  </si>
  <si>
    <t>CF (residential)</t>
  </si>
  <si>
    <t>https://assets.publishing.service.gov.uk/media/66683e05d9e51103bd4ef881/TIL_Boilers_-_controls_and_recovery_April_2020.pdf</t>
  </si>
  <si>
    <t>https://iea-etsap.org/E-TechDS/PDF/I01-ind_boilers-GS-AD-gct.pdf</t>
  </si>
  <si>
    <t>https://www.dabonn.com/news/blog/33.html</t>
  </si>
  <si>
    <t>https://www.boiler-systems.co.uk/how-long-should-a-boiler-last/</t>
  </si>
  <si>
    <t>https://www.makeboiler.com/it/boiler-lifespan-comparison-gas-electric-oil/</t>
  </si>
  <si>
    <t>https://birmingham-commercial-appliance-repairs.co.uk/how-long-does-a-boiler-last-lifespan-signs-to-replace-maintenance-tips</t>
  </si>
  <si>
    <t>https://www.heat-tec.com/what-is-the-life-expectancy-of-a-commercial-boiler/</t>
  </si>
  <si>
    <t>Primary Heat Exchanger</t>
  </si>
  <si>
    <t>Burner and combustion chamber elements</t>
  </si>
  <si>
    <t>Exhaust system</t>
  </si>
  <si>
    <t>Pumps</t>
  </si>
  <si>
    <t>https://www.mdpi.com/1996-1073/14/13/4048</t>
  </si>
  <si>
    <t>https://www.sciencedirect.com/science/article/abs/pii/S0378775322002737</t>
  </si>
  <si>
    <t>https://pure.manchester.ac.uk/ws/portalfiles/portal/54548470/FULL_TEXT.PDF</t>
  </si>
  <si>
    <t>Fuel-cell Stack (at least 2 times in 20y lifetime)</t>
  </si>
  <si>
    <t>Stack (at least 3 times for 20 y lifetime)</t>
  </si>
  <si>
    <t>Heat Recovery</t>
  </si>
  <si>
    <t>A-W Heat pump</t>
  </si>
  <si>
    <t xml:space="preserve">CF - residential </t>
  </si>
  <si>
    <t>https://www.ehpa.org/wp-content/uploads/2023/06/Heat-Pump-Key-Facts-May-2023_compressed.pdf</t>
  </si>
  <si>
    <t>CF - industrial</t>
  </si>
  <si>
    <t>https://www.rehva.eu/rehva-journal/chapter/air-to-water-heat-pump-in-heating-system</t>
  </si>
  <si>
    <t>https://www.irena.org/-/media/Files/IRENA/Agency/Publication/2022/Nov/IRENA_Heat_Pumps_Costs_Markets_2022.pdf</t>
  </si>
  <si>
    <t>https://www.scottish-enterprise.com/media/jftj41sz/heat-pumps-and-heating-systems-components-analysis.pdf</t>
  </si>
  <si>
    <t>https://ma-eeac.org/wp-content/uploads/MA23X14-B-RHPINV-Residential-Heat-Pump-Invoice-Cost-Study-Web.pdf</t>
  </si>
  <si>
    <t>https://www.energy.vic.gov.au/__data/assets/pdf_file/0029/710669/Commercial-and-industrial-heat-pump-water-heaters-technical-guidelines.pdf</t>
  </si>
  <si>
    <t>https://www.pickhvac.com/how-long-do-heat-pumps-last-lifespan-costs-maintenance/</t>
  </si>
  <si>
    <t>https://www.21degrees.com/guides/air-source-heat-pump-maintenance-checklist/</t>
  </si>
  <si>
    <t>Compressor</t>
  </si>
  <si>
    <t>Outdoor and indoor coil</t>
  </si>
  <si>
    <t>Power electronics</t>
  </si>
  <si>
    <t>Pumps and valves</t>
  </si>
  <si>
    <t>Fans</t>
  </si>
  <si>
    <t>W-W Heat pump</t>
  </si>
  <si>
    <t>https://www.epa.gov/sites/default/files/2023-10/heat-pumps-in-water-wastewater-sector_webinar.pdf</t>
  </si>
  <si>
    <t>Last access: 30/11/25</t>
  </si>
  <si>
    <t>https://www.sciencedirect.com/science/article/abs/pii/S0378778814005118</t>
  </si>
  <si>
    <t>https://www.mdpi.com/1996-1073/17/13/3329</t>
  </si>
  <si>
    <t>https://webthesis.biblio.polito.it/24223/1/tesi.pdf</t>
  </si>
  <si>
    <t>Geo Heat pump</t>
  </si>
  <si>
    <t>CF - residential</t>
  </si>
  <si>
    <t>https://www.energy.gov/femp/purchasing-energy-efficient-geothermal-heat-pumps</t>
  </si>
  <si>
    <t>https://www.google.com/search?q=https://www.sciencedirect.com/science/article/pii/S037877881830172X</t>
  </si>
  <si>
    <t>https://www.researchgate.net/figure/Cost-breakdown-into-equipment-non-equipment-costs-for-a-GSHP-system_fig2_350478678</t>
  </si>
  <si>
    <t>https://www.irena.org/Publications/2022/Nov/Renewable-solutions-in-end-uses-Heat-pump-costs-and-markets</t>
  </si>
  <si>
    <t>https://thundersaidenergy.com/downloads/ground-source-heat-pumps-the-economics/</t>
  </si>
  <si>
    <t>https://www.irena.org/-/media/Files/IRENA/Agency/Publication/2013/IRENA-ETSAP-Tech-Brief-E12-Heat-Pumps.pdf</t>
  </si>
  <si>
    <t>(as well as the references for the other heat pumps)</t>
  </si>
  <si>
    <t>Alkalyne electrolyzer</t>
  </si>
  <si>
    <t>https://www.google.com/search?q=https://iea-etsap.org/E-TechDS/PDF/E10-Electrolysis-GS-AD-gct.pdf</t>
  </si>
  <si>
    <t>https://www.irena.org/-/media/Files/IRENA/Agency/Publication/2020/Dec/IRENA_Green_hydrogen_cost_2020.pdf</t>
  </si>
  <si>
    <t>https://ispt.eu/media/ISPT-public-report-gigawatt-green-hydrogen-plant.pdf</t>
  </si>
  <si>
    <t>https://docs.nrel.gov/docs/fy24osti/87625.pdf</t>
  </si>
  <si>
    <t>https://greenskillsforhydrogen.eu/wp-content/uploads/2024/07/2024-Juni-4-V03-Masterclass-WHB_-Greenskill4h2_Green-Hydrogen-Cost-and-reduction.pdf</t>
  </si>
  <si>
    <t>https://www.eiga.eu/uploads/documents/DOC246.pdf</t>
  </si>
  <si>
    <t>Stack (at least 2 times in 20y lifetime)</t>
  </si>
  <si>
    <t>Hydrogen Compression</t>
  </si>
  <si>
    <t>https://www.google.com/search?q=https://www.energy.gov/eere/fuelcells/h2a-model-and-analysis</t>
  </si>
  <si>
    <t>https://www.hydrogen.energy.gov/docs/hydrogenprogramlibraries/pdfs/24005-clean-hydrogen-production-cost-pem-electrolyzer.pdf</t>
  </si>
  <si>
    <t>https://www.nlr.gov/docs/libraries/hydrogen/h2a-pem-electrolysis-case-study-documentation0f186255-54ca-48ce-8a7b-647c61a9aa64.pdf?sfvrsn=c1fd332b_1</t>
  </si>
  <si>
    <t>Stack (at least 4 times in 25y lifetime)</t>
  </si>
  <si>
    <t>Wood chips BOILERS</t>
  </si>
  <si>
    <t>https://ipm.cahnr.uconn.edu/documents/raw_file/biomass-standards/</t>
  </si>
  <si>
    <t>https://assets.publishing.service.gov.uk/media/5d79043be5274a20381543e1/Annex_F_-_Case_studies.pdf</t>
  </si>
  <si>
    <t>https://www.seai.ie/sites/default/files/publications/Biomass-Boilers-Implementation-Guide.pdf</t>
  </si>
  <si>
    <t>https://www.atmos.eu/en/product/automatic-pellet-boilers/</t>
  </si>
  <si>
    <t>https://ilfocolaregroup.it/shop/en/254-pellet-boilers-spare-parts</t>
  </si>
  <si>
    <t>https://www.hbenergy.com/blog/heating-service/some-common-pellet-stove-problems/</t>
  </si>
  <si>
    <t>https://warmflow.fra1.cdn.digitaloceanspaces.com/uploads/Wood-Pellet-Boiler-Manual.pdf</t>
  </si>
  <si>
    <t>Grate System</t>
  </si>
  <si>
    <t>Feeding and conveying system</t>
  </si>
  <si>
    <t>Combustion chamber refractory elements</t>
  </si>
  <si>
    <t>Heat exchanger</t>
  </si>
  <si>
    <t>Ash handling system</t>
  </si>
  <si>
    <t>Pellet BOILERS</t>
  </si>
  <si>
    <t>ORC biomass</t>
  </si>
  <si>
    <t>https://www.mdpi.com/2077-1312/8/5/351</t>
  </si>
  <si>
    <t>https://www.seai.ie/sites/default/files/grants/business-grants/support-scheme-renewable-heat/Biomass-CHP-Operation-Maintenance-Guide.pdf</t>
  </si>
  <si>
    <t>https://www.seai.ie/sites/default/files/publications/Biomass-Operations-and-Maintenance-Guide.pdf</t>
  </si>
  <si>
    <t>https://ir.canterbury.ac.nz/server/api/core/bitstreams/694ac12f-4778-4850-8ca9-8fa49bc33f49/content</t>
  </si>
  <si>
    <t>https://uccenvironmental.com/technologies/ash-and-material-handling/</t>
  </si>
  <si>
    <t>https://www.researchgate.net/publication/319658976_Operation_and_maintenance_of_a_biomass_fired_-_Organic_Rankine_Cycle_-_CHP_plant_the_experience_of_Cremona</t>
  </si>
  <si>
    <t>ORC expander</t>
  </si>
  <si>
    <t>ORC evaporator</t>
  </si>
  <si>
    <t>Grate</t>
  </si>
  <si>
    <t>Fuel handling and feeding system</t>
  </si>
  <si>
    <t>Condenser and cooling system</t>
  </si>
  <si>
    <t>Generator</t>
  </si>
  <si>
    <t>PV panels</t>
  </si>
  <si>
    <t>https://www.eia.gov/tools/faqs/faq.php?id=73&amp;t=11</t>
  </si>
  <si>
    <t>https://www.mdpi.com/2071-1050/16/9/3880</t>
  </si>
  <si>
    <t>https://www.daelimtransformer.com/transformer-lifespan.html</t>
  </si>
  <si>
    <t>https://www.sciencedirect.com/science/article/pii/S2405844024129374</t>
  </si>
  <si>
    <t>https://valsaeng.co.za/wp-content/uploads/2025/07/Single-Axis-Tracker-Sat-Contorl-STL36-Solar-Tracker-overview.pdf</t>
  </si>
  <si>
    <t>Inverter</t>
  </si>
  <si>
    <t>Tracker system (if present)</t>
  </si>
  <si>
    <t>https://www.irena.org/-/media/Files/IRENA/Agency/Publication/2022/Jul/IRENA_Power_Generation_Costs_2021.pdf</t>
  </si>
  <si>
    <t>https://docs.nrel.gov/docs/fy24osti/88335.pdf</t>
  </si>
  <si>
    <t>https://repositorium.uminho.pt/server/api/core/bitstreams/57b3cea7-eaa8-48ca-8892-740131feb189/content</t>
  </si>
  <si>
    <t>https://topsectorenergie.nl/documents/335/20220414_RAP_DNV_Lifetime_extension_and_optimal_lifecycle_offshore_wind_turbin_tUf1Zv2.pdf</t>
  </si>
  <si>
    <t>https://phmsociety.org/wp-content/uploads/2013/06/PHM-for-Wind-Energy-Tugan-Eritenel.pdf</t>
  </si>
  <si>
    <t>Main shaft bearings</t>
  </si>
  <si>
    <t>Gearbox</t>
  </si>
  <si>
    <t>Generator bearings</t>
  </si>
  <si>
    <t>Pitch System</t>
  </si>
  <si>
    <t>Yaw system</t>
  </si>
  <si>
    <t>Wind Turbines (HAWTs)</t>
  </si>
  <si>
    <t>Wind Turbines (VAWTs)</t>
  </si>
  <si>
    <t>https://www.mdpi.com/2411-5134/10/6/95</t>
  </si>
  <si>
    <t>https://www.diva-portal.org/smash/get/diva2%3A1150387/FULLTEXT01.pdf</t>
  </si>
  <si>
    <t>https://pure.tudelft.nl/ws/portalfiles/portal/125395850/1_s2.0_S1364032122004774_main.pdf</t>
  </si>
  <si>
    <t>https://www.pnnl.gov/projects/om-best-practices/onsite-wind-turbines</t>
  </si>
  <si>
    <t>https://www.mdpi.com/1996-1073/18/23/6369</t>
  </si>
  <si>
    <t>https://www.sciencedirect.com/science/article/abs/pii/S0951832023002211</t>
  </si>
  <si>
    <t>Solar Thermal (flat)</t>
  </si>
  <si>
    <t>https://iea-etsap.org/E-TechDS/PDF/T05_Solar_HC_GS_AD_gct.pdf</t>
  </si>
  <si>
    <t>https://docs.nrel.gov/docs/fy16osti/66215.pdf</t>
  </si>
  <si>
    <t>https://solarthermalworld.org/wp-content/uploads/2016/01/estif_standardisation_2012.pdf?x32997=&amp;</t>
  </si>
  <si>
    <t>https://www.cedengineering.com/userfiles/Intro%20to%20Solar%20Collectors.pdf</t>
  </si>
  <si>
    <t>https://en.wikipedia.org/wiki/Solar_thermal_collector</t>
  </si>
  <si>
    <t>Electronics</t>
  </si>
  <si>
    <t>Hot water storage tanks</t>
  </si>
  <si>
    <t>Internal heat exchanger</t>
  </si>
  <si>
    <t>Piping</t>
  </si>
  <si>
    <t>CST</t>
  </si>
  <si>
    <t>https://docs.nrel.gov/docs/fy22osti/83041.pdf</t>
  </si>
  <si>
    <t>https://www.diva-portal.org/smash/get/diva2%3A971712/FULLTEXT01.pdf</t>
  </si>
  <si>
    <t>https://docs.nrel.gov/docs/fy20osti/75763.pdf</t>
  </si>
  <si>
    <t>https://docs.nrel.gov/docs/fy24osti/89036.pdf</t>
  </si>
  <si>
    <t>https://www.solarpaces.org/wp-content/uploads/2024/02/Blue-Book-of-Chinas-Concentrating-Solar-Power-Industry-2023.pdf</t>
  </si>
  <si>
    <t>https://turbivap.com.br/how-often-steam-turbine-maintenance/</t>
  </si>
  <si>
    <t>Heliostat field  module replacements</t>
  </si>
  <si>
    <t>Heliostat drives</t>
  </si>
  <si>
    <t>Heliostat motors</t>
  </si>
  <si>
    <t>Power Block</t>
  </si>
  <si>
    <t>Heat and salt heat exchangers</t>
  </si>
  <si>
    <t>Thermal storage elements</t>
  </si>
  <si>
    <t>Condenser</t>
  </si>
  <si>
    <t>BESS</t>
  </si>
  <si>
    <t>https://atb.nrel.gov/electricity/2021/utility-scale_battery_storage</t>
  </si>
  <si>
    <t>Battery modules</t>
  </si>
  <si>
    <t>Power conversion system</t>
  </si>
  <si>
    <t>Battery management system</t>
  </si>
  <si>
    <t>Absorption chillers</t>
  </si>
  <si>
    <t>https://ingenius.ups.edu.ec/index.php/ingenius/article/view/21.2019.04/3048</t>
  </si>
  <si>
    <t>Comrpession chillers</t>
  </si>
  <si>
    <t>Generator, absorber, evaporator</t>
  </si>
  <si>
    <t>Thermal insulation and piping sections</t>
  </si>
  <si>
    <t>Condenser and evaporator heat exchangers</t>
  </si>
  <si>
    <t xml:space="preserve">Expansion valves </t>
  </si>
  <si>
    <t>https://www.alfalaval.com/service-and-support/product-services/plate-heat-exchanger-services/</t>
  </si>
  <si>
    <t>https://www3.epa.gov/ttn/ecas/docs/SCRCostManualchapter7thEdition_2016.pdf</t>
  </si>
  <si>
    <t>Last access: 29/11/25</t>
  </si>
  <si>
    <t>https://www.epa.gov/power-sector-modeling/retrofit-cost-analyzer</t>
  </si>
  <si>
    <t>https://dieselnet.com/tech/cat_scr_diesel.php</t>
  </si>
  <si>
    <t>https://www.wartsila.com/energy/learn-more/references</t>
  </si>
  <si>
    <t>https://www.wartsila.com/energy/engine-power-plant-solutions/engine-power-plant-products</t>
  </si>
  <si>
    <t>https://www.wartsila.com/energy/engine-power-plant-solutions/lifecycle-services</t>
  </si>
  <si>
    <t>https://www.neiaap.org/article/battery-storage-system-prices-continue-to-fall-sharply-bnef-and-ember-reports-find</t>
  </si>
  <si>
    <t>https://www.beny.com/battery-energy-storage-system-cost/</t>
  </si>
  <si>
    <t>https://www.hijoule.com/products/</t>
  </si>
  <si>
    <t>https://docs.nlr.gov/docs/fy22osti/82956.pdf</t>
  </si>
  <si>
    <t>https://atb.nrel.gov/electricity/2021/utility-scale_battery_storage/</t>
  </si>
  <si>
    <t>https://www.copowbattery.com/news/what-is-a-battery-energy-storage-system-85280965.html</t>
  </si>
  <si>
    <t>https://it.scribd.com/document/943251487/Hvac-Manual</t>
  </si>
  <si>
    <t>https://www.oxmaint.com/checklist-center/procedure/chiller-daikin-vapor-absorption-wht-yearly-checklist</t>
  </si>
  <si>
    <t>https://studylib.net/doc/28036960/recommended-practice-obsolescence-management-for-automati</t>
  </si>
  <si>
    <t>https://www.euautomation.com/uk/news/the-hidden-cost-of-plc-obsolescence</t>
  </si>
  <si>
    <t>TES</t>
  </si>
  <si>
    <t>Cycles per year</t>
  </si>
  <si>
    <t xml:space="preserve">Round trip efficiency </t>
  </si>
  <si>
    <t>Energy delivered</t>
  </si>
  <si>
    <t>https://www.mdpi.com/1996-1073/17/1/22</t>
  </si>
  <si>
    <t xml:space="preserve">Pumps </t>
  </si>
  <si>
    <t>Heat Exchangers</t>
  </si>
  <si>
    <t>Thermal insulation</t>
  </si>
  <si>
    <t>kwh delivered/kwh capacity</t>
  </si>
  <si>
    <t>H2 Storage Tank</t>
  </si>
  <si>
    <t xml:space="preserve">Efficiency </t>
  </si>
  <si>
    <t>https://www.researchgate.net/publication/396176064_Advances_in_Type_IV_Tanks_for_Safe_Hydrogen_Storage_Materials_Technologies_and_Challenges</t>
  </si>
  <si>
    <t>https://h2tools.org/bestpractices/maintenance-and-inspection/maintenance-requirements-for-vessels</t>
  </si>
  <si>
    <t>Pressure vessel</t>
  </si>
  <si>
    <t>Valves</t>
  </si>
  <si>
    <t>Instruments for control</t>
  </si>
  <si>
    <t>H2 Storage Cavern</t>
  </si>
  <si>
    <t>https://assets.publishing.service.gov.uk/media/68aebcef3a052c9c504c8e60/The_geomechanics_of_hydrogen_storage_in_salt_caverns_-_environmental_considerations_-_report.pdf</t>
  </si>
  <si>
    <t>https://www.mdpi.com/2071-1050/17/13/5900</t>
  </si>
  <si>
    <t>https://www.ineris.fr/sites/default/files/contribution/Documents/Ineris-206731-2736278-Deliverable%20L6.3%20of%20the%20ROSTOCK-H%20project%20v1.pdf</t>
  </si>
  <si>
    <t>https://open-research-europe.ec.europa.eu/articles/4-17</t>
  </si>
  <si>
    <t>Injection/Withdrawal  wells</t>
  </si>
  <si>
    <t>Compression and gas handling (surface)</t>
  </si>
  <si>
    <t>https://oxmaint.com/checklist/chiller.html</t>
  </si>
  <si>
    <t>https://www.enerquip.com/chiller-tube-maintenance-step-by-step-guide/</t>
  </si>
  <si>
    <t>https://activeair.com.au/wp-content/uploads/2021/09/Chiller-Maintenance-Checklist.pdf</t>
  </si>
  <si>
    <t>https://www.airsolutioncompany.com/process-chillers-condensing-coil-maintenance/</t>
  </si>
  <si>
    <t>https://chillerone.com/chiller-lifespan/</t>
  </si>
  <si>
    <t>NG BOILER Condensing (small)</t>
  </si>
  <si>
    <t>NG BOILER Non-Condensing (large)</t>
  </si>
  <si>
    <t>y = CAPEX specifico (€/MW_el), x=taglia (MW_el)</t>
  </si>
  <si>
    <t>y = 18729.721 * x^(-0.401) (considering data till 0.5 MW_el)
y = 1908.689 * x^(-0.065) (considering data till 10 MW_el)</t>
  </si>
  <si>
    <t>y = 1908.689 * x^(-0.065)</t>
  </si>
  <si>
    <t>y_in = 9105.985 * x_in^(-0.401)</t>
  </si>
  <si>
    <t>y_in = 9986.839 * x_in^(-0.401)</t>
  </si>
  <si>
    <t>y_in = 810.329 * x_in^(-0.065))</t>
  </si>
  <si>
    <t>y_in = 13388.795 * x_in^(-0.224)</t>
  </si>
  <si>
    <t>y_in = 9680.269 * x_in^(-0.205)</t>
  </si>
  <si>
    <t>y_in = 4591.400 * x_in^(-0.541)</t>
  </si>
  <si>
    <t>y_in = 4739.126 * x_in^(-0.541)</t>
  </si>
  <si>
    <t>y_in = 107.620 * x_in^(-0.280)</t>
  </si>
  <si>
    <t xml:space="preserve"> y_in = 10612.758 * x_in^(-0.182)</t>
  </si>
  <si>
    <t xml:space="preserve"> y_in = 10612.758 * x_in^(-0.182) * (3.26/2.96)^(-0.182)</t>
  </si>
  <si>
    <t>y_in = 163834.334 * x_in^(-0.455)</t>
  </si>
  <si>
    <t>y_in = 163834.334 * x_in^(-0.455) * (4.60/4.80)^(-0.455)</t>
  </si>
  <si>
    <t>y_in = 19459.781 * x_in^(-0.257)</t>
  </si>
  <si>
    <t>y_in = 19459.781 * x_in^(-0.257) * (4.30/4.98)^(-0.257)</t>
  </si>
  <si>
    <t>y_in = 25206.226 * x_in^(-0.249)</t>
  </si>
  <si>
    <t>y_in = 25206.226 * x_in^(-0.249) * (4.30/4.98)^(-0.249)</t>
  </si>
  <si>
    <t>y_in = 21532.115 * x_in^(-0.244)</t>
  </si>
  <si>
    <t>y_in = 21532.115 * x_in^(-0.244) * (4.30/4.98)^(-0.244)</t>
  </si>
  <si>
    <t>y_in = 2473.682 * x_in^(-0.372)</t>
  </si>
  <si>
    <t>y_in = 2857.658 * x_in^(-0.494)</t>
  </si>
  <si>
    <t>y_in = 2929.313 * x_in^(-0.601)</t>
  </si>
  <si>
    <t>y_in = 5795.541 * x_in^(-0.223)</t>
  </si>
  <si>
    <t>2-6%/min</t>
  </si>
  <si>
    <t>33-50</t>
  </si>
  <si>
    <t>= (10/60)  / (30%) * 0.0674 + O&amp;M_fix * (0.5/48)</t>
  </si>
  <si>
    <t>= (10/60)  / (35%) * 0.0674 + O&amp;M_fix * (0.5/48)</t>
  </si>
  <si>
    <t>= (10/60)  / (40%) * 0.0674 + O&amp;M_fix * (0.5/48)</t>
  </si>
  <si>
    <t>= (15/60)  / (55%) * 0.0674 + O&amp;M_fix * (0.4/80)</t>
  </si>
  <si>
    <t>= (2/60)  / (97%) * 0.0674 + O&amp;M_fix * (0.3/40)</t>
  </si>
  <si>
    <t>= (2/60)  / (105%) * 0.0674 + O&amp;M_fix * (0.3/40)</t>
  </si>
  <si>
    <t>= (60/60)  / (93%) * 0.0674 + O&amp;M_fix * (0.3/40)</t>
  </si>
  <si>
    <t>= (10/60) * 0.0674 + O&amp;M_fix_in * (0.5/48)</t>
  </si>
  <si>
    <t>= (15/60) * 0.0674 + O&amp;M_fix_in * (0.4/80)</t>
  </si>
  <si>
    <t>= (2/60) * 0.0674 + O&amp;M_fix_in * (0.3/40)</t>
  </si>
  <si>
    <t>= (60/60) * 0.0674 + O&amp;M_fix_in * (0.3/40)</t>
  </si>
  <si>
    <t>2-6 min 
&lt;= 32 min (th. Eq.)</t>
  </si>
  <si>
    <t>120 - 500 kW_el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</si>
</sst>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"/>
    <numFmt numFmtId="167" formatCode="0.0"/>
    <numFmt numFmtId="168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73A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821AF"/>
        <bgColor indexed="64"/>
      </patternFill>
    </fill>
    <fill>
      <patternFill patternType="solid">
        <fgColor rgb="FF65F9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2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right" wrapText="1"/>
    </xf>
    <xf numFmtId="0" fontId="5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right"/>
    </xf>
    <xf numFmtId="166" fontId="0" fillId="0" borderId="0" xfId="0" quotePrefix="1" applyNumberFormat="1" applyAlignment="1">
      <alignment horizontal="center"/>
    </xf>
    <xf numFmtId="164" fontId="0" fillId="0" borderId="0" xfId="0" quotePrefix="1" applyNumberFormat="1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166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quotePrefix="1" applyNumberFormat="1" applyBorder="1" applyAlignment="1">
      <alignment wrapText="1"/>
    </xf>
    <xf numFmtId="164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horizontal="center" wrapText="1"/>
    </xf>
    <xf numFmtId="166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5" fontId="4" fillId="0" borderId="0" xfId="0" quotePrefix="1" applyNumberFormat="1" applyFont="1" applyAlignment="1">
      <alignment horizontal="center" wrapText="1"/>
    </xf>
    <xf numFmtId="165" fontId="4" fillId="0" borderId="1" xfId="0" quotePrefix="1" applyNumberFormat="1" applyFont="1" applyBorder="1" applyAlignment="1">
      <alignment horizontal="center" wrapText="1"/>
    </xf>
    <xf numFmtId="164" fontId="0" fillId="0" borderId="0" xfId="0" quotePrefix="1" applyNumberFormat="1"/>
    <xf numFmtId="164" fontId="0" fillId="0" borderId="0" xfId="0" applyNumberFormat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164" fontId="0" fillId="0" borderId="1" xfId="0" quotePrefix="1" applyNumberFormat="1" applyBorder="1"/>
    <xf numFmtId="0" fontId="1" fillId="5" borderId="3" xfId="0" applyFont="1" applyFill="1" applyBorder="1"/>
    <xf numFmtId="0" fontId="1" fillId="5" borderId="1" xfId="0" applyFont="1" applyFill="1" applyBorder="1"/>
    <xf numFmtId="0" fontId="0" fillId="0" borderId="0" xfId="0" quotePrefix="1" applyAlignment="1">
      <alignment horizontal="right" wrapText="1"/>
    </xf>
    <xf numFmtId="2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right" wrapText="1"/>
    </xf>
    <xf numFmtId="0" fontId="1" fillId="6" borderId="0" xfId="0" applyFont="1" applyFill="1"/>
    <xf numFmtId="0" fontId="1" fillId="6" borderId="1" xfId="0" applyFont="1" applyFill="1" applyBorder="1"/>
    <xf numFmtId="2" fontId="0" fillId="0" borderId="1" xfId="0" applyNumberFormat="1" applyBorder="1"/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1" fillId="7" borderId="1" xfId="0" applyFont="1" applyFill="1" applyBorder="1" applyAlignment="1">
      <alignment wrapText="1"/>
    </xf>
    <xf numFmtId="166" fontId="0" fillId="0" borderId="1" xfId="0" applyNumberFormat="1" applyBorder="1"/>
    <xf numFmtId="166" fontId="4" fillId="0" borderId="0" xfId="0" quotePrefix="1" applyNumberFormat="1" applyFont="1" applyAlignment="1">
      <alignment horizontal="center" wrapText="1"/>
    </xf>
    <xf numFmtId="166" fontId="4" fillId="0" borderId="1" xfId="0" quotePrefix="1" applyNumberFormat="1" applyFont="1" applyBorder="1" applyAlignment="1">
      <alignment horizontal="center" wrapText="1"/>
    </xf>
    <xf numFmtId="2" fontId="0" fillId="0" borderId="0" xfId="0" quotePrefix="1" applyNumberFormat="1" applyAlignment="1">
      <alignment horizontal="center"/>
    </xf>
    <xf numFmtId="166" fontId="0" fillId="0" borderId="0" xfId="0" quotePrefix="1" applyNumberFormat="1" applyAlignment="1">
      <alignment horizontal="right" wrapText="1"/>
    </xf>
    <xf numFmtId="166" fontId="0" fillId="0" borderId="0" xfId="0" quotePrefix="1" applyNumberFormat="1" applyAlignment="1">
      <alignment horizontal="left" wrapText="1"/>
    </xf>
    <xf numFmtId="2" fontId="0" fillId="0" borderId="1" xfId="0" quotePrefix="1" applyNumberFormat="1" applyBorder="1" applyAlignment="1">
      <alignment horizontal="center"/>
    </xf>
    <xf numFmtId="0" fontId="0" fillId="0" borderId="1" xfId="0" quotePrefix="1" applyBorder="1"/>
    <xf numFmtId="0" fontId="1" fillId="8" borderId="0" xfId="0" applyFont="1" applyFill="1"/>
    <xf numFmtId="0" fontId="1" fillId="8" borderId="1" xfId="0" applyFont="1" applyFill="1" applyBorder="1"/>
    <xf numFmtId="165" fontId="0" fillId="0" borderId="0" xfId="0" quotePrefix="1" applyNumberFormat="1" applyAlignment="1">
      <alignment horizontal="center"/>
    </xf>
    <xf numFmtId="167" fontId="0" fillId="0" borderId="0" xfId="0" quotePrefix="1" applyNumberFormat="1" applyAlignment="1">
      <alignment horizontal="center"/>
    </xf>
    <xf numFmtId="0" fontId="0" fillId="0" borderId="1" xfId="0" applyBorder="1" applyAlignment="1">
      <alignment horizontal="left" wrapText="1"/>
    </xf>
    <xf numFmtId="165" fontId="0" fillId="0" borderId="1" xfId="0" quotePrefix="1" applyNumberFormat="1" applyBorder="1" applyAlignment="1">
      <alignment horizontal="center"/>
    </xf>
    <xf numFmtId="167" fontId="0" fillId="0" borderId="1" xfId="0" quotePrefix="1" applyNumberFormat="1" applyBorder="1" applyAlignment="1">
      <alignment horizontal="center"/>
    </xf>
    <xf numFmtId="166" fontId="0" fillId="0" borderId="0" xfId="0" quotePrefix="1" applyNumberFormat="1" applyAlignment="1">
      <alignment horizontal="left"/>
    </xf>
    <xf numFmtId="166" fontId="0" fillId="0" borderId="1" xfId="0" quotePrefix="1" applyNumberFormat="1" applyBorder="1" applyAlignment="1">
      <alignment horizontal="left"/>
    </xf>
    <xf numFmtId="0" fontId="1" fillId="21" borderId="2" xfId="0" applyFont="1" applyFill="1" applyBorder="1"/>
    <xf numFmtId="0" fontId="0" fillId="0" borderId="2" xfId="0" applyBorder="1" applyAlignment="1">
      <alignment horizontal="left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wrapText="1"/>
    </xf>
    <xf numFmtId="165" fontId="0" fillId="0" borderId="2" xfId="0" quotePrefix="1" applyNumberFormat="1" applyBorder="1" applyAlignment="1">
      <alignment horizontal="center"/>
    </xf>
    <xf numFmtId="167" fontId="0" fillId="0" borderId="2" xfId="0" quotePrefix="1" applyNumberFormat="1" applyBorder="1" applyAlignment="1">
      <alignment horizontal="center"/>
    </xf>
    <xf numFmtId="166" fontId="0" fillId="0" borderId="2" xfId="0" quotePrefix="1" applyNumberFormat="1" applyBorder="1" applyAlignment="1">
      <alignment horizontal="left"/>
    </xf>
    <xf numFmtId="166" fontId="0" fillId="0" borderId="2" xfId="0" applyNumberFormat="1" applyBorder="1" applyAlignment="1">
      <alignment horizontal="right" wrapText="1"/>
    </xf>
    <xf numFmtId="2" fontId="0" fillId="0" borderId="2" xfId="0" applyNumberFormat="1" applyBorder="1"/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horizontal="left"/>
    </xf>
    <xf numFmtId="9" fontId="0" fillId="0" borderId="2" xfId="0" applyNumberFormat="1" applyBorder="1"/>
    <xf numFmtId="0" fontId="0" fillId="0" borderId="2" xfId="0" quotePrefix="1" applyBorder="1" applyAlignment="1">
      <alignment horizontal="center" wrapText="1"/>
    </xf>
    <xf numFmtId="165" fontId="4" fillId="0" borderId="2" xfId="0" quotePrefix="1" applyNumberFormat="1" applyFont="1" applyBorder="1" applyAlignment="1">
      <alignment horizontal="center" wrapText="1"/>
    </xf>
    <xf numFmtId="0" fontId="0" fillId="0" borderId="2" xfId="0" quotePrefix="1" applyBorder="1" applyAlignment="1">
      <alignment horizontal="center"/>
    </xf>
    <xf numFmtId="164" fontId="0" fillId="0" borderId="2" xfId="0" quotePrefix="1" applyNumberFormat="1" applyBorder="1"/>
    <xf numFmtId="164" fontId="0" fillId="0" borderId="2" xfId="0" quotePrefix="1" applyNumberFormat="1" applyBorder="1" applyAlignment="1">
      <alignment horizontal="left"/>
    </xf>
    <xf numFmtId="166" fontId="4" fillId="0" borderId="2" xfId="0" quotePrefix="1" applyNumberFormat="1" applyFont="1" applyBorder="1" applyAlignment="1">
      <alignment horizontal="center" wrapText="1"/>
    </xf>
    <xf numFmtId="16" fontId="0" fillId="0" borderId="0" xfId="0" quotePrefix="1" applyNumberFormat="1" applyAlignment="1">
      <alignment horizontal="right" wrapText="1"/>
    </xf>
    <xf numFmtId="16" fontId="0" fillId="0" borderId="1" xfId="0" quotePrefix="1" applyNumberFormat="1" applyBorder="1" applyAlignment="1">
      <alignment horizontal="right" wrapText="1"/>
    </xf>
    <xf numFmtId="0" fontId="1" fillId="10" borderId="0" xfId="0" applyFont="1" applyFill="1"/>
    <xf numFmtId="0" fontId="1" fillId="10" borderId="1" xfId="0" applyFont="1" applyFill="1" applyBorder="1"/>
    <xf numFmtId="0" fontId="1" fillId="11" borderId="2" xfId="0" applyFont="1" applyFill="1" applyBorder="1"/>
    <xf numFmtId="0" fontId="1" fillId="22" borderId="2" xfId="0" applyFont="1" applyFill="1" applyBorder="1"/>
    <xf numFmtId="0" fontId="1" fillId="12" borderId="0" xfId="0" applyFont="1" applyFill="1"/>
    <xf numFmtId="0" fontId="1" fillId="12" borderId="1" xfId="0" applyFont="1" applyFill="1" applyBorder="1"/>
    <xf numFmtId="0" fontId="1" fillId="12" borderId="2" xfId="0" applyFont="1" applyFill="1" applyBorder="1"/>
    <xf numFmtId="16" fontId="0" fillId="0" borderId="2" xfId="0" quotePrefix="1" applyNumberFormat="1" applyBorder="1" applyAlignment="1">
      <alignment horizontal="right" wrapText="1"/>
    </xf>
    <xf numFmtId="1" fontId="0" fillId="0" borderId="2" xfId="0" applyNumberFormat="1" applyBorder="1" applyAlignment="1">
      <alignment horizontal="center"/>
    </xf>
    <xf numFmtId="2" fontId="0" fillId="0" borderId="2" xfId="0" quotePrefix="1" applyNumberFormat="1" applyBorder="1" applyAlignment="1">
      <alignment horizontal="center"/>
    </xf>
    <xf numFmtId="1" fontId="0" fillId="0" borderId="0" xfId="0" applyNumberFormat="1" applyAlignment="1">
      <alignment horizontal="right" wrapText="1"/>
    </xf>
    <xf numFmtId="10" fontId="4" fillId="0" borderId="0" xfId="0" applyNumberFormat="1" applyFont="1"/>
    <xf numFmtId="0" fontId="4" fillId="0" borderId="0" xfId="0" applyFont="1" applyAlignment="1">
      <alignment horizontal="center"/>
    </xf>
    <xf numFmtId="166" fontId="0" fillId="0" borderId="0" xfId="0" quotePrefix="1" applyNumberFormat="1" applyAlignment="1">
      <alignment horizontal="center" wrapText="1"/>
    </xf>
    <xf numFmtId="0" fontId="4" fillId="0" borderId="1" xfId="0" applyFont="1" applyBorder="1" applyAlignment="1">
      <alignment horizontal="center"/>
    </xf>
    <xf numFmtId="166" fontId="0" fillId="0" borderId="1" xfId="0" quotePrefix="1" applyNumberFormat="1" applyBorder="1" applyAlignment="1">
      <alignment horizontal="center" wrapText="1"/>
    </xf>
    <xf numFmtId="1" fontId="0" fillId="0" borderId="1" xfId="0" applyNumberFormat="1" applyBorder="1" applyAlignment="1">
      <alignment horizontal="right" wrapText="1"/>
    </xf>
    <xf numFmtId="10" fontId="4" fillId="0" borderId="1" xfId="0" applyNumberFormat="1" applyFon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0" quotePrefix="1" applyNumberFormat="1" applyBorder="1" applyAlignment="1">
      <alignment horizontal="center" wrapText="1"/>
    </xf>
    <xf numFmtId="0" fontId="4" fillId="0" borderId="1" xfId="0" applyFont="1" applyBorder="1"/>
    <xf numFmtId="0" fontId="1" fillId="13" borderId="0" xfId="0" applyFont="1" applyFill="1"/>
    <xf numFmtId="0" fontId="1" fillId="13" borderId="1" xfId="0" applyFont="1" applyFill="1" applyBorder="1"/>
    <xf numFmtId="0" fontId="1" fillId="14" borderId="0" xfId="0" applyFont="1" applyFill="1"/>
    <xf numFmtId="0" fontId="1" fillId="14" borderId="1" xfId="0" applyFont="1" applyFill="1" applyBorder="1"/>
    <xf numFmtId="166" fontId="0" fillId="0" borderId="1" xfId="0" quotePrefix="1" applyNumberFormat="1" applyBorder="1" applyAlignment="1">
      <alignment horizontal="left" wrapText="1"/>
    </xf>
    <xf numFmtId="165" fontId="0" fillId="0" borderId="1" xfId="0" quotePrefix="1" applyNumberFormat="1" applyBorder="1" applyAlignment="1">
      <alignment horizontal="left" wrapText="1"/>
    </xf>
    <xf numFmtId="0" fontId="1" fillId="15" borderId="2" xfId="0" applyFont="1" applyFill="1" applyBorder="1"/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right" wrapText="1"/>
    </xf>
    <xf numFmtId="0" fontId="4" fillId="0" borderId="2" xfId="0" applyFont="1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quotePrefix="1" applyNumberFormat="1" applyAlignment="1">
      <alignment horizontal="center" wrapText="1"/>
    </xf>
    <xf numFmtId="2" fontId="0" fillId="0" borderId="1" xfId="0" quotePrefix="1" applyNumberFormat="1" applyBorder="1" applyAlignment="1">
      <alignment horizontal="center" wrapText="1"/>
    </xf>
    <xf numFmtId="9" fontId="0" fillId="0" borderId="1" xfId="0" quotePrefix="1" applyNumberFormat="1" applyBorder="1" applyAlignment="1">
      <alignment horizontal="center" wrapText="1"/>
    </xf>
    <xf numFmtId="0" fontId="1" fillId="3" borderId="2" xfId="0" applyFont="1" applyFill="1" applyBorder="1"/>
    <xf numFmtId="0" fontId="1" fillId="23" borderId="2" xfId="0" applyFont="1" applyFill="1" applyBorder="1"/>
    <xf numFmtId="0" fontId="1" fillId="16" borderId="2" xfId="0" applyFont="1" applyFill="1" applyBorder="1" applyAlignment="1">
      <alignment wrapText="1"/>
    </xf>
    <xf numFmtId="0" fontId="1" fillId="4" borderId="0" xfId="0" applyFont="1" applyFill="1"/>
    <xf numFmtId="0" fontId="1" fillId="4" borderId="1" xfId="0" applyFont="1" applyFill="1" applyBorder="1"/>
    <xf numFmtId="0" fontId="1" fillId="17" borderId="1" xfId="0" applyFont="1" applyFill="1" applyBorder="1"/>
    <xf numFmtId="0" fontId="1" fillId="0" borderId="2" xfId="0" applyFont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18" borderId="2" xfId="0" applyFont="1" applyFill="1" applyBorder="1"/>
    <xf numFmtId="0" fontId="1" fillId="19" borderId="1" xfId="0" applyFont="1" applyFill="1" applyBorder="1"/>
    <xf numFmtId="0" fontId="1" fillId="20" borderId="2" xfId="0" quotePrefix="1" applyFont="1" applyFill="1" applyBorder="1"/>
    <xf numFmtId="0" fontId="1" fillId="20" borderId="2" xfId="0" applyFont="1" applyFill="1" applyBorder="1"/>
    <xf numFmtId="0" fontId="1" fillId="3" borderId="0" xfId="0" applyFont="1" applyFill="1"/>
    <xf numFmtId="2" fontId="0" fillId="0" borderId="0" xfId="0" applyNumberFormat="1" applyAlignment="1">
      <alignment horizontal="left"/>
    </xf>
    <xf numFmtId="165" fontId="4" fillId="0" borderId="0" xfId="0" applyNumberFormat="1" applyFont="1" applyAlignment="1">
      <alignment horizontal="center" wrapText="1"/>
    </xf>
    <xf numFmtId="1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right"/>
    </xf>
    <xf numFmtId="165" fontId="0" fillId="0" borderId="1" xfId="0" applyNumberFormat="1" applyBorder="1"/>
    <xf numFmtId="9" fontId="0" fillId="0" borderId="1" xfId="0" applyNumberFormat="1" applyBorder="1" applyAlignment="1">
      <alignment wrapText="1"/>
    </xf>
    <xf numFmtId="0" fontId="8" fillId="0" borderId="0" xfId="1"/>
    <xf numFmtId="0" fontId="7" fillId="0" borderId="0" xfId="0" applyFont="1"/>
    <xf numFmtId="17" fontId="0" fillId="0" borderId="0" xfId="0" applyNumberFormat="1"/>
    <xf numFmtId="0" fontId="1" fillId="7" borderId="1" xfId="0" applyFont="1" applyFill="1" applyBorder="1"/>
    <xf numFmtId="0" fontId="1" fillId="16" borderId="1" xfId="0" applyFont="1" applyFill="1" applyBorder="1" applyAlignment="1">
      <alignment wrapText="1"/>
    </xf>
    <xf numFmtId="0" fontId="1" fillId="18" borderId="1" xfId="0" applyFont="1" applyFill="1" applyBorder="1"/>
    <xf numFmtId="0" fontId="1" fillId="18" borderId="3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  <xf numFmtId="0" fontId="1" fillId="5" borderId="0" xfId="0" applyFont="1" applyFill="1"/>
    <xf numFmtId="2" fontId="0" fillId="0" borderId="1" xfId="0" applyNumberFormat="1" applyBorder="1" applyAlignment="1">
      <alignment horizontal="left"/>
    </xf>
    <xf numFmtId="165" fontId="4" fillId="0" borderId="1" xfId="0" applyNumberFormat="1" applyFont="1" applyBorder="1" applyAlignment="1">
      <alignment horizontal="center" wrapText="1"/>
    </xf>
    <xf numFmtId="0" fontId="1" fillId="6" borderId="3" xfId="0" applyFont="1" applyFill="1" applyBorder="1"/>
    <xf numFmtId="0" fontId="0" fillId="0" borderId="3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quotePrefix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165" fontId="4" fillId="0" borderId="3" xfId="0" applyNumberFormat="1" applyFont="1" applyBorder="1" applyAlignment="1">
      <alignment horizontal="center" wrapText="1"/>
    </xf>
    <xf numFmtId="0" fontId="0" fillId="0" borderId="3" xfId="0" applyBorder="1"/>
    <xf numFmtId="164" fontId="0" fillId="0" borderId="3" xfId="0" applyNumberFormat="1" applyBorder="1"/>
    <xf numFmtId="166" fontId="0" fillId="0" borderId="3" xfId="0" applyNumberFormat="1" applyBorder="1" applyAlignment="1">
      <alignment horizontal="right" wrapText="1"/>
    </xf>
    <xf numFmtId="9" fontId="0" fillId="0" borderId="3" xfId="0" applyNumberFormat="1" applyBorder="1"/>
    <xf numFmtId="0" fontId="1" fillId="7" borderId="3" xfId="0" applyFont="1" applyFill="1" applyBorder="1"/>
    <xf numFmtId="2" fontId="0" fillId="0" borderId="3" xfId="0" applyNumberFormat="1" applyBorder="1" applyAlignment="1">
      <alignment wrapText="1"/>
    </xf>
    <xf numFmtId="2" fontId="0" fillId="0" borderId="3" xfId="0" applyNumberFormat="1" applyBorder="1"/>
    <xf numFmtId="2" fontId="0" fillId="0" borderId="0" xfId="0" applyNumberFormat="1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3" xfId="0" applyBorder="1" applyAlignment="1">
      <alignment horizontal="left" wrapText="1"/>
    </xf>
    <xf numFmtId="1" fontId="0" fillId="0" borderId="3" xfId="0" applyNumberFormat="1" applyBorder="1"/>
    <xf numFmtId="165" fontId="0" fillId="0" borderId="3" xfId="0" applyNumberFormat="1" applyBorder="1"/>
    <xf numFmtId="167" fontId="0" fillId="0" borderId="3" xfId="0" applyNumberFormat="1" applyBorder="1"/>
    <xf numFmtId="166" fontId="0" fillId="0" borderId="3" xfId="0" applyNumberFormat="1" applyBorder="1" applyAlignment="1">
      <alignment horizontal="right"/>
    </xf>
    <xf numFmtId="165" fontId="0" fillId="0" borderId="0" xfId="0" applyNumberFormat="1" applyAlignment="1">
      <alignment horizontal="right" wrapText="1"/>
    </xf>
    <xf numFmtId="1" fontId="0" fillId="0" borderId="1" xfId="0" applyNumberFormat="1" applyBorder="1"/>
    <xf numFmtId="167" fontId="0" fillId="0" borderId="1" xfId="0" applyNumberFormat="1" applyBorder="1"/>
    <xf numFmtId="166" fontId="0" fillId="0" borderId="1" xfId="0" applyNumberFormat="1" applyBorder="1" applyAlignment="1">
      <alignment horizontal="right"/>
    </xf>
    <xf numFmtId="165" fontId="0" fillId="0" borderId="2" xfId="0" applyNumberFormat="1" applyBorder="1"/>
    <xf numFmtId="166" fontId="0" fillId="0" borderId="2" xfId="0" applyNumberFormat="1" applyBorder="1" applyAlignment="1">
      <alignment horizontal="right"/>
    </xf>
    <xf numFmtId="165" fontId="4" fillId="0" borderId="2" xfId="0" applyNumberFormat="1" applyFont="1" applyBorder="1" applyAlignment="1">
      <alignment horizontal="center" wrapText="1"/>
    </xf>
    <xf numFmtId="164" fontId="0" fillId="0" borderId="2" xfId="0" applyNumberFormat="1" applyBorder="1"/>
    <xf numFmtId="0" fontId="1" fillId="12" borderId="3" xfId="0" applyFont="1" applyFill="1" applyBorder="1"/>
    <xf numFmtId="16" fontId="0" fillId="0" borderId="3" xfId="0" quotePrefix="1" applyNumberFormat="1" applyBorder="1" applyAlignment="1">
      <alignment horizontal="right" wrapText="1"/>
    </xf>
    <xf numFmtId="166" fontId="0" fillId="0" borderId="3" xfId="0" applyNumberFormat="1" applyBorder="1"/>
    <xf numFmtId="0" fontId="1" fillId="13" borderId="3" xfId="0" applyFont="1" applyFill="1" applyBorder="1"/>
    <xf numFmtId="1" fontId="0" fillId="0" borderId="3" xfId="0" applyNumberFormat="1" applyBorder="1" applyAlignment="1">
      <alignment horizontal="right" wrapText="1"/>
    </xf>
    <xf numFmtId="10" fontId="4" fillId="0" borderId="3" xfId="0" applyNumberFormat="1" applyFont="1" applyBorder="1"/>
    <xf numFmtId="0" fontId="0" fillId="0" borderId="0" xfId="0" quotePrefix="1"/>
    <xf numFmtId="0" fontId="1" fillId="14" borderId="3" xfId="0" applyFont="1" applyFill="1" applyBorder="1"/>
    <xf numFmtId="0" fontId="0" fillId="0" borderId="3" xfId="0" applyBorder="1" applyAlignment="1">
      <alignment horizontal="right"/>
    </xf>
    <xf numFmtId="165" fontId="0" fillId="0" borderId="1" xfId="0" applyNumberFormat="1" applyBorder="1" applyAlignment="1">
      <alignment horizontal="right" wrapText="1"/>
    </xf>
    <xf numFmtId="164" fontId="0" fillId="0" borderId="2" xfId="0" applyNumberFormat="1" applyBorder="1" applyAlignment="1">
      <alignment wrapText="1"/>
    </xf>
    <xf numFmtId="0" fontId="1" fillId="3" borderId="3" xfId="0" applyFont="1" applyFill="1" applyBorder="1"/>
    <xf numFmtId="0" fontId="0" fillId="0" borderId="3" xfId="0" applyBorder="1" applyAlignment="1">
      <alignment horizontal="center"/>
    </xf>
    <xf numFmtId="0" fontId="1" fillId="3" borderId="1" xfId="0" applyFont="1" applyFill="1" applyBorder="1"/>
    <xf numFmtId="0" fontId="1" fillId="16" borderId="0" xfId="0" applyFont="1" applyFill="1" applyAlignment="1">
      <alignment wrapText="1"/>
    </xf>
    <xf numFmtId="1" fontId="0" fillId="0" borderId="0" xfId="0" applyNumberFormat="1" applyAlignment="1">
      <alignment wrapText="1"/>
    </xf>
    <xf numFmtId="1" fontId="0" fillId="0" borderId="1" xfId="0" applyNumberFormat="1" applyBorder="1" applyAlignment="1">
      <alignment wrapText="1"/>
    </xf>
    <xf numFmtId="0" fontId="1" fillId="4" borderId="3" xfId="0" applyFont="1" applyFill="1" applyBorder="1"/>
    <xf numFmtId="0" fontId="1" fillId="18" borderId="0" xfId="0" applyFont="1" applyFill="1"/>
    <xf numFmtId="9" fontId="0" fillId="0" borderId="0" xfId="0" applyNumberFormat="1" applyAlignment="1">
      <alignment wrapText="1"/>
    </xf>
    <xf numFmtId="0" fontId="1" fillId="19" borderId="3" xfId="0" applyFont="1" applyFill="1" applyBorder="1"/>
    <xf numFmtId="0" fontId="1" fillId="19" borderId="0" xfId="0" applyFont="1" applyFill="1"/>
    <xf numFmtId="0" fontId="1" fillId="20" borderId="3" xfId="0" quotePrefix="1" applyFont="1" applyFill="1" applyBorder="1"/>
    <xf numFmtId="168" fontId="0" fillId="0" borderId="3" xfId="0" applyNumberFormat="1" applyBorder="1"/>
    <xf numFmtId="168" fontId="0" fillId="0" borderId="0" xfId="0" applyNumberFormat="1"/>
    <xf numFmtId="168" fontId="0" fillId="0" borderId="1" xfId="0" applyNumberFormat="1" applyBorder="1"/>
    <xf numFmtId="164" fontId="4" fillId="0" borderId="0" xfId="0" applyNumberFormat="1" applyFont="1"/>
    <xf numFmtId="167" fontId="0" fillId="0" borderId="0" xfId="0" applyNumberFormat="1" applyAlignment="1">
      <alignment horizontal="left"/>
    </xf>
    <xf numFmtId="167" fontId="0" fillId="0" borderId="1" xfId="0" applyNumberFormat="1" applyBorder="1" applyAlignment="1">
      <alignment horizontal="left"/>
    </xf>
    <xf numFmtId="164" fontId="4" fillId="0" borderId="3" xfId="0" applyNumberFormat="1" applyFont="1" applyBorder="1"/>
    <xf numFmtId="164" fontId="0" fillId="0" borderId="0" xfId="0" applyNumberFormat="1" applyAlignment="1">
      <alignment wrapText="1"/>
    </xf>
    <xf numFmtId="16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1" borderId="0" xfId="0" applyFont="1" applyFill="1"/>
    <xf numFmtId="0" fontId="10" fillId="21" borderId="0" xfId="0" applyFont="1" applyFill="1"/>
    <xf numFmtId="0" fontId="10" fillId="8" borderId="0" xfId="0" applyFont="1" applyFill="1"/>
    <xf numFmtId="0" fontId="10" fillId="8" borderId="1" xfId="0" applyFont="1" applyFill="1" applyBorder="1"/>
    <xf numFmtId="0" fontId="10" fillId="21" borderId="1" xfId="0" applyFont="1" applyFill="1" applyBorder="1"/>
    <xf numFmtId="0" fontId="10" fillId="10" borderId="0" xfId="0" applyFont="1" applyFill="1"/>
    <xf numFmtId="0" fontId="10" fillId="10" borderId="1" xfId="0" applyFont="1" applyFill="1" applyBorder="1"/>
    <xf numFmtId="0" fontId="0" fillId="0" borderId="0" xfId="0" applyAlignment="1">
      <alignment vertical="center"/>
    </xf>
    <xf numFmtId="0" fontId="1" fillId="10" borderId="3" xfId="0" applyFont="1" applyFill="1" applyBorder="1"/>
    <xf numFmtId="0" fontId="8" fillId="0" borderId="0" xfId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9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2" fontId="0" fillId="0" borderId="0" xfId="0" applyNumberFormat="1" applyAlignment="1">
      <alignment vertical="center"/>
    </xf>
    <xf numFmtId="0" fontId="10" fillId="21" borderId="2" xfId="0" applyFont="1" applyFill="1" applyBorder="1"/>
    <xf numFmtId="0" fontId="1" fillId="2" borderId="1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8" borderId="2" xfId="0" applyFont="1" applyFill="1" applyBorder="1"/>
    <xf numFmtId="0" fontId="10" fillId="8" borderId="2" xfId="0" applyFont="1" applyFill="1" applyBorder="1"/>
    <xf numFmtId="0" fontId="1" fillId="9" borderId="2" xfId="0" applyFont="1" applyFill="1" applyBorder="1"/>
    <xf numFmtId="0" fontId="10" fillId="9" borderId="2" xfId="0" applyFont="1" applyFill="1" applyBorder="1"/>
    <xf numFmtId="0" fontId="10" fillId="10" borderId="3" xfId="0" applyFont="1" applyFill="1" applyBorder="1"/>
    <xf numFmtId="0" fontId="1" fillId="13" borderId="2" xfId="0" applyFont="1" applyFill="1" applyBorder="1"/>
    <xf numFmtId="0" fontId="1" fillId="14" borderId="2" xfId="0" applyFont="1" applyFill="1" applyBorder="1"/>
    <xf numFmtId="0" fontId="1" fillId="19" borderId="2" xfId="0" applyFont="1" applyFill="1" applyBorder="1"/>
    <xf numFmtId="0" fontId="1" fillId="20" borderId="0" xfId="0" quotePrefix="1" applyFont="1" applyFill="1"/>
    <xf numFmtId="165" fontId="4" fillId="0" borderId="0" xfId="0" applyNumberFormat="1" applyFont="1" applyAlignment="1">
      <alignment horizontal="right" wrapText="1"/>
    </xf>
    <xf numFmtId="165" fontId="4" fillId="0" borderId="1" xfId="0" applyNumberFormat="1" applyFont="1" applyBorder="1" applyAlignment="1">
      <alignment horizontal="right" wrapText="1"/>
    </xf>
    <xf numFmtId="165" fontId="4" fillId="0" borderId="3" xfId="0" applyNumberFormat="1" applyFont="1" applyBorder="1" applyAlignment="1">
      <alignment horizontal="right" wrapText="1"/>
    </xf>
    <xf numFmtId="9" fontId="0" fillId="0" borderId="0" xfId="2" applyFont="1"/>
    <xf numFmtId="0" fontId="8" fillId="0" borderId="0" xfId="1" applyFill="1"/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5F985"/>
      <color rgb="FFA82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175260</xdr:colOff>
      <xdr:row>19</xdr:row>
      <xdr:rowOff>144780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1E1AD3-086A-4B50-AF7D-BCBFCEA118DA}"/>
                </a:ext>
              </a:extLst>
            </xdr:cNvPr>
            <xdr:cNvSpPr txBox="1"/>
          </xdr:nvSpPr>
          <xdr:spPr>
            <a:xfrm>
              <a:off x="784860" y="32537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1E1AD3-086A-4B50-AF7D-BCBFCEA118DA}"/>
                </a:ext>
              </a:extLst>
            </xdr:cNvPr>
            <xdr:cNvSpPr txBox="1"/>
          </xdr:nvSpPr>
          <xdr:spPr>
            <a:xfrm>
              <a:off x="784860" y="32537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68580</xdr:colOff>
      <xdr:row>35</xdr:row>
      <xdr:rowOff>91440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341D85-1703-41EA-9778-2BB6351C3F07}"/>
                </a:ext>
              </a:extLst>
            </xdr:cNvPr>
            <xdr:cNvSpPr txBox="1"/>
          </xdr:nvSpPr>
          <xdr:spPr>
            <a:xfrm>
              <a:off x="678180" y="61264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341D85-1703-41EA-9778-2BB6351C3F07}"/>
                </a:ext>
              </a:extLst>
            </xdr:cNvPr>
            <xdr:cNvSpPr txBox="1"/>
          </xdr:nvSpPr>
          <xdr:spPr>
            <a:xfrm>
              <a:off x="678180" y="61264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56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D3C9629-6347-4A6C-8F76-D3FBD3D29EC5}"/>
                </a:ext>
              </a:extLst>
            </xdr:cNvPr>
            <xdr:cNvSpPr txBox="1"/>
          </xdr:nvSpPr>
          <xdr:spPr>
            <a:xfrm>
              <a:off x="609600" y="96926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D3C9629-6347-4A6C-8F76-D3FBD3D29EC5}"/>
                </a:ext>
              </a:extLst>
            </xdr:cNvPr>
            <xdr:cNvSpPr txBox="1"/>
          </xdr:nvSpPr>
          <xdr:spPr>
            <a:xfrm>
              <a:off x="609600" y="96926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71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B7517FE-0C43-46A2-BBA5-F699D97D5E28}"/>
                </a:ext>
              </a:extLst>
            </xdr:cNvPr>
            <xdr:cNvSpPr txBox="1"/>
          </xdr:nvSpPr>
          <xdr:spPr>
            <a:xfrm>
              <a:off x="609600" y="1261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B7517FE-0C43-46A2-BBA5-F699D97D5E28}"/>
                </a:ext>
              </a:extLst>
            </xdr:cNvPr>
            <xdr:cNvSpPr txBox="1"/>
          </xdr:nvSpPr>
          <xdr:spPr>
            <a:xfrm>
              <a:off x="609600" y="1261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30480</xdr:colOff>
      <xdr:row>94</xdr:row>
      <xdr:rowOff>68580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D86907C-9748-4379-9960-A438CB26D8A0}"/>
                </a:ext>
              </a:extLst>
            </xdr:cNvPr>
            <xdr:cNvSpPr txBox="1"/>
          </xdr:nvSpPr>
          <xdr:spPr>
            <a:xfrm>
              <a:off x="640080" y="1671066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D86907C-9748-4379-9960-A438CB26D8A0}"/>
                </a:ext>
              </a:extLst>
            </xdr:cNvPr>
            <xdr:cNvSpPr txBox="1"/>
          </xdr:nvSpPr>
          <xdr:spPr>
            <a:xfrm>
              <a:off x="640080" y="1671066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115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8BB3D42-D49A-4EB9-B884-DABC965ED1ED}"/>
                </a:ext>
              </a:extLst>
            </xdr:cNvPr>
            <xdr:cNvSpPr txBox="1"/>
          </xdr:nvSpPr>
          <xdr:spPr>
            <a:xfrm>
              <a:off x="609600" y="202996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8BB3D42-D49A-4EB9-B884-DABC965ED1ED}"/>
                </a:ext>
              </a:extLst>
            </xdr:cNvPr>
            <xdr:cNvSpPr txBox="1"/>
          </xdr:nvSpPr>
          <xdr:spPr>
            <a:xfrm>
              <a:off x="609600" y="202996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138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695BE4-7FFA-492A-BC6A-6B9473211222}"/>
                </a:ext>
              </a:extLst>
            </xdr:cNvPr>
            <xdr:cNvSpPr txBox="1"/>
          </xdr:nvSpPr>
          <xdr:spPr>
            <a:xfrm>
              <a:off x="609600" y="248716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695BE4-7FFA-492A-BC6A-6B9473211222}"/>
                </a:ext>
              </a:extLst>
            </xdr:cNvPr>
            <xdr:cNvSpPr txBox="1"/>
          </xdr:nvSpPr>
          <xdr:spPr>
            <a:xfrm>
              <a:off x="609600" y="248716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157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F197A0A-A3B3-47F1-9F33-FE57F3852AF4}"/>
                </a:ext>
              </a:extLst>
            </xdr:cNvPr>
            <xdr:cNvSpPr txBox="1"/>
          </xdr:nvSpPr>
          <xdr:spPr>
            <a:xfrm>
              <a:off x="609600" y="285292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F197A0A-A3B3-47F1-9F33-FE57F3852AF4}"/>
                </a:ext>
              </a:extLst>
            </xdr:cNvPr>
            <xdr:cNvSpPr txBox="1"/>
          </xdr:nvSpPr>
          <xdr:spPr>
            <a:xfrm>
              <a:off x="609600" y="285292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175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FB80F2E-A10F-4DF8-9339-9B6C6547860C}"/>
                </a:ext>
              </a:extLst>
            </xdr:cNvPr>
            <xdr:cNvSpPr txBox="1"/>
          </xdr:nvSpPr>
          <xdr:spPr>
            <a:xfrm>
              <a:off x="609600" y="316382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FB80F2E-A10F-4DF8-9339-9B6C6547860C}"/>
                </a:ext>
              </a:extLst>
            </xdr:cNvPr>
            <xdr:cNvSpPr txBox="1"/>
          </xdr:nvSpPr>
          <xdr:spPr>
            <a:xfrm>
              <a:off x="609600" y="316382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196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CD34380-8EAB-4CEB-ACC4-203BD18BDAFE}"/>
                </a:ext>
              </a:extLst>
            </xdr:cNvPr>
            <xdr:cNvSpPr txBox="1"/>
          </xdr:nvSpPr>
          <xdr:spPr>
            <a:xfrm>
              <a:off x="609600" y="3547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CD34380-8EAB-4CEB-ACC4-203BD18BDAFE}"/>
                </a:ext>
              </a:extLst>
            </xdr:cNvPr>
            <xdr:cNvSpPr txBox="1"/>
          </xdr:nvSpPr>
          <xdr:spPr>
            <a:xfrm>
              <a:off x="609600" y="3547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218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3AB141C-78E4-4CCE-A16D-CBBD1C574A3E}"/>
                </a:ext>
              </a:extLst>
            </xdr:cNvPr>
            <xdr:cNvSpPr txBox="1"/>
          </xdr:nvSpPr>
          <xdr:spPr>
            <a:xfrm>
              <a:off x="609600" y="3547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3AB141C-78E4-4CCE-A16D-CBBD1C574A3E}"/>
                </a:ext>
              </a:extLst>
            </xdr:cNvPr>
            <xdr:cNvSpPr txBox="1"/>
          </xdr:nvSpPr>
          <xdr:spPr>
            <a:xfrm>
              <a:off x="609600" y="3547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243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9DBFB17-7292-434F-A0C4-AD1BE18A8720}"/>
                </a:ext>
              </a:extLst>
            </xdr:cNvPr>
            <xdr:cNvSpPr txBox="1"/>
          </xdr:nvSpPr>
          <xdr:spPr>
            <a:xfrm>
              <a:off x="609600" y="440740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9DBFB17-7292-434F-A0C4-AD1BE18A8720}"/>
                </a:ext>
              </a:extLst>
            </xdr:cNvPr>
            <xdr:cNvSpPr txBox="1"/>
          </xdr:nvSpPr>
          <xdr:spPr>
            <a:xfrm>
              <a:off x="609600" y="440740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260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5F70CD9-6281-4222-BCCD-A11B5EB2DFF4}"/>
                </a:ext>
              </a:extLst>
            </xdr:cNvPr>
            <xdr:cNvSpPr txBox="1"/>
          </xdr:nvSpPr>
          <xdr:spPr>
            <a:xfrm>
              <a:off x="609600" y="471830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5F70CD9-6281-4222-BCCD-A11B5EB2DFF4}"/>
                </a:ext>
              </a:extLst>
            </xdr:cNvPr>
            <xdr:cNvSpPr txBox="1"/>
          </xdr:nvSpPr>
          <xdr:spPr>
            <a:xfrm>
              <a:off x="609600" y="4718304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281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639434-0DD2-4C71-A7A8-8E0B0A903761}"/>
                </a:ext>
              </a:extLst>
            </xdr:cNvPr>
            <xdr:cNvSpPr txBox="1"/>
          </xdr:nvSpPr>
          <xdr:spPr>
            <a:xfrm>
              <a:off x="609600" y="510235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639434-0DD2-4C71-A7A8-8E0B0A903761}"/>
                </a:ext>
              </a:extLst>
            </xdr:cNvPr>
            <xdr:cNvSpPr txBox="1"/>
          </xdr:nvSpPr>
          <xdr:spPr>
            <a:xfrm>
              <a:off x="609600" y="510235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302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0C4088B-9282-4BB1-8392-BD86664AC58E}"/>
                </a:ext>
              </a:extLst>
            </xdr:cNvPr>
            <xdr:cNvSpPr txBox="1"/>
          </xdr:nvSpPr>
          <xdr:spPr>
            <a:xfrm>
              <a:off x="609600" y="5486400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0C4088B-9282-4BB1-8392-BD86664AC58E}"/>
                </a:ext>
              </a:extLst>
            </xdr:cNvPr>
            <xdr:cNvSpPr txBox="1"/>
          </xdr:nvSpPr>
          <xdr:spPr>
            <a:xfrm>
              <a:off x="609600" y="5486400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321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8ACC408-CDF4-4513-B578-74E0156241B8}"/>
                </a:ext>
              </a:extLst>
            </xdr:cNvPr>
            <xdr:cNvSpPr txBox="1"/>
          </xdr:nvSpPr>
          <xdr:spPr>
            <a:xfrm>
              <a:off x="609600" y="5833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8ACC408-CDF4-4513-B578-74E0156241B8}"/>
                </a:ext>
              </a:extLst>
            </xdr:cNvPr>
            <xdr:cNvSpPr txBox="1"/>
          </xdr:nvSpPr>
          <xdr:spPr>
            <a:xfrm>
              <a:off x="609600" y="58338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346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2D69C2-E22F-447D-9ADF-7008C7249247}"/>
                </a:ext>
              </a:extLst>
            </xdr:cNvPr>
            <xdr:cNvSpPr txBox="1"/>
          </xdr:nvSpPr>
          <xdr:spPr>
            <a:xfrm>
              <a:off x="609600" y="62910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2D69C2-E22F-447D-9ADF-7008C7249247}"/>
                </a:ext>
              </a:extLst>
            </xdr:cNvPr>
            <xdr:cNvSpPr txBox="1"/>
          </xdr:nvSpPr>
          <xdr:spPr>
            <a:xfrm>
              <a:off x="609600" y="629107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366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8BF4F3-23DD-4624-AE94-8108251C1BDC}"/>
                </a:ext>
              </a:extLst>
            </xdr:cNvPr>
            <xdr:cNvSpPr txBox="1"/>
          </xdr:nvSpPr>
          <xdr:spPr>
            <a:xfrm>
              <a:off x="609600" y="665683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8BF4F3-23DD-4624-AE94-8108251C1BDC}"/>
                </a:ext>
              </a:extLst>
            </xdr:cNvPr>
            <xdr:cNvSpPr txBox="1"/>
          </xdr:nvSpPr>
          <xdr:spPr>
            <a:xfrm>
              <a:off x="609600" y="665683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383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FCAFF0E-A440-4415-B312-0E5816DCDAC6}"/>
                </a:ext>
              </a:extLst>
            </xdr:cNvPr>
            <xdr:cNvSpPr txBox="1"/>
          </xdr:nvSpPr>
          <xdr:spPr>
            <a:xfrm>
              <a:off x="609600" y="696772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FCAFF0E-A440-4415-B312-0E5816DCDAC6}"/>
                </a:ext>
              </a:extLst>
            </xdr:cNvPr>
            <xdr:cNvSpPr txBox="1"/>
          </xdr:nvSpPr>
          <xdr:spPr>
            <a:xfrm>
              <a:off x="609600" y="6967728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402</xdr:row>
      <xdr:rowOff>0</xdr:rowOff>
    </xdr:from>
    <xdr:ext cx="3581400" cy="244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392A1E3-ADA3-449A-95BF-3F951E054028}"/>
                </a:ext>
              </a:extLst>
            </xdr:cNvPr>
            <xdr:cNvSpPr txBox="1"/>
          </xdr:nvSpPr>
          <xdr:spPr>
            <a:xfrm>
              <a:off x="609600" y="729691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€</m:t>
                      </m:r>
                    </m:num>
                    <m:den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𝑘𝑊h</m:t>
                      </m:r>
                    </m:den>
                  </m:f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𝑇𝑜𝑡𝑎𝑙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% 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𝐶𝑎𝑝𝑒𝑥</m:t>
                      </m:r>
                    </m:e>
                  </m:d>
                </m:oMath>
              </a14:m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392A1E3-ADA3-449A-95BF-3F951E054028}"/>
                </a:ext>
              </a:extLst>
            </xdr:cNvPr>
            <xdr:cNvSpPr txBox="1"/>
          </xdr:nvSpPr>
          <xdr:spPr>
            <a:xfrm>
              <a:off x="609600" y="72969120"/>
              <a:ext cx="3581400" cy="244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€/𝑘𝑊ℎ=(𝑇𝑜𝑡𝑎𝑙 %  𝑜𝑓 𝐶𝑎𝑝𝑒𝑥)</a:t>
              </a:r>
              <a:r>
                <a:rPr lang="en-GB" sz="1100" i="1"/>
                <a:t>/(CF</a:t>
              </a:r>
              <a:r>
                <a:rPr lang="en-GB" sz="1100" i="1" baseline="0"/>
                <a:t> * 8760 h/y * Lifetime)</a:t>
              </a:r>
              <a:r>
                <a:rPr lang="en-GB" sz="1100" i="1"/>
                <a:t> 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3</xdr:row>
      <xdr:rowOff>91440</xdr:rowOff>
    </xdr:from>
    <xdr:to>
      <xdr:col>13</xdr:col>
      <xdr:colOff>267259</xdr:colOff>
      <xdr:row>23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05934-6753-477B-AFA7-5E545D04F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640080"/>
          <a:ext cx="7559599" cy="3688080"/>
        </a:xfrm>
        <a:prstGeom prst="rect">
          <a:avLst/>
        </a:prstGeom>
      </xdr:spPr>
    </xdr:pic>
    <xdr:clientData/>
  </xdr:twoCellAnchor>
  <xdr:oneCellAnchor>
    <xdr:from>
      <xdr:col>1</xdr:col>
      <xdr:colOff>312420</xdr:colOff>
      <xdr:row>25</xdr:row>
      <xdr:rowOff>76200</xdr:rowOff>
    </xdr:from>
    <xdr:ext cx="63140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CCF291-2AA8-4B81-BEBA-28B0FBE8ACB5}"/>
                </a:ext>
              </a:extLst>
            </xdr:cNvPr>
            <xdr:cNvSpPr txBox="1"/>
          </xdr:nvSpPr>
          <xdr:spPr>
            <a:xfrm>
              <a:off x="922020" y="4648200"/>
              <a:ext cx="63140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𝑆𝑡𝑎𝑟𝑡𝑢𝑝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𝑐𝑜𝑠𝑡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= 1 [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h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]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6 </m:t>
                    </m:r>
                    <m:r>
                      <m:rPr>
                        <m:nor/>
                      </m:rPr>
                      <a:rPr lang="en-GB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∗ </m:t>
                    </m:r>
                    <m:r>
                      <m:rPr>
                        <m:nor/>
                      </m:rPr>
                      <a:rPr lang="it-IT" sz="11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1/</m:t>
                    </m:r>
                    <m:r>
                      <m:rPr>
                        <m:nor/>
                      </m:rPr>
                      <a:rPr lang="it-IT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eff</m:t>
                    </m:r>
                    <m:r>
                      <m:rPr>
                        <m:nor/>
                      </m:rPr>
                      <a:rPr lang="it-IT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it-IT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el</m:t>
                    </m:r>
                    <m:r>
                      <m:rPr>
                        <m:nor/>
                      </m:rPr>
                      <a:rPr lang="it-IT" sz="11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it-IT" sz="1100" b="0" i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[]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∗ 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𝐹𝑈𝐸𝐿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𝐶𝑂𝑆𝑇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[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𝐸𝑈𝑅</m:t>
                    </m:r>
                    <m:r>
                      <m:rPr>
                        <m:nor/>
                      </m:rPr>
                      <a:rPr lang="it-IT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m:rPr>
                        <m:nor/>
                      </m:rPr>
                      <a:rPr lang="it-IT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kWh</m:t>
                    </m:r>
                    <m:r>
                      <m:rPr>
                        <m:nor/>
                      </m:rPr>
                      <a:rPr lang="it-IT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it-IT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el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]+ 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𝐶𝐴𝑃𝐸𝑋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[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𝐸𝑈𝑅</m:t>
                    </m:r>
                    <m:r>
                      <m:rPr>
                        <m:nor/>
                      </m:rPr>
                      <a:rPr lang="it-IT" sz="1100" b="0" i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𝑘𝑊𝑒𝑙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] ∗ %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𝑂𝑃𝐸𝑋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∗ </m:t>
                    </m:r>
                    <m:r>
                      <m:rPr>
                        <m:nor/>
                      </m:rPr>
                      <a:rPr lang="en-GB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0.5</m:t>
                    </m:r>
                    <m:r>
                      <m:rPr>
                        <m:nor/>
                      </m:rPr>
                      <a:rPr lang="it-IT" sz="11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m:rPr>
                        <m:nor/>
                      </m:rPr>
                      <a:rPr lang="en-GB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48</m:t>
                    </m:r>
                  </m:oMath>
                </m:oMathPara>
              </a14:m>
              <a:endParaRPr lang="en-GB" sz="1100" i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CCF291-2AA8-4B81-BEBA-28B0FBE8ACB5}"/>
                </a:ext>
              </a:extLst>
            </xdr:cNvPr>
            <xdr:cNvSpPr txBox="1"/>
          </xdr:nvSpPr>
          <xdr:spPr>
            <a:xfrm>
              <a:off x="922020" y="4648200"/>
              <a:ext cx="63140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"𝑆𝑡𝑎𝑟𝑡𝑢𝑝 𝑐𝑜𝑠𝑡 = 1 [h]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6 ∗ </a:t>
              </a:r>
              <a:r>
                <a:rPr lang="it-IT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1/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eff_el</a:t>
              </a:r>
              <a:r>
                <a:rPr lang="it-IT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[]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 𝐹𝑈𝐸𝐿_𝐶𝑂𝑆𝑇 [𝐸𝑈𝑅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/kWh_el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]+ 𝐶𝐴𝑃𝐸𝑋 [𝐸𝑈𝑅</a:t>
              </a:r>
              <a:r>
                <a:rPr lang="it-IT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𝑘𝑊𝑒𝑙 ] ∗ %𝑂𝑃𝐸𝑋 ∗ 0.5</a:t>
              </a:r>
              <a:r>
                <a:rPr lang="it-IT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48</a:t>
              </a:r>
              <a:r>
                <a:rPr lang="en-GB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n-GB" sz="1100" i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312420</xdr:colOff>
      <xdr:row>29</xdr:row>
      <xdr:rowOff>7620</xdr:rowOff>
    </xdr:from>
    <xdr:ext cx="56146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D6DE0C4-8F82-427A-9C7E-EFB61FDB066B}"/>
                </a:ext>
              </a:extLst>
            </xdr:cNvPr>
            <xdr:cNvSpPr txBox="1"/>
          </xdr:nvSpPr>
          <xdr:spPr>
            <a:xfrm>
              <a:off x="922020" y="5311140"/>
              <a:ext cx="56146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𝑆𝑡𝑎𝑟𝑡𝑢𝑝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𝑐𝑜𝑠𝑡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= 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start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up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time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[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h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]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∗ 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1/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eff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el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[]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∗ 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𝐹𝑈𝐸𝐿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𝐶𝑂𝑆𝑇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[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𝐸𝑈𝑅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kWh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el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]+ 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𝑂𝑃𝐸𝑋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fix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∗ 0.5</m:t>
                    </m:r>
                    <m:r>
                      <m:rPr>
                        <m:nor/>
                      </m:rPr>
                      <a:rPr lang="it-IT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m:rPr>
                        <m:nor/>
                      </m:rPr>
                      <a:rPr lang="en-GB" sz="11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48</m:t>
                    </m:r>
                  </m:oMath>
                </m:oMathPara>
              </a14:m>
              <a:endParaRPr lang="en-GB" sz="1100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D6DE0C4-8F82-427A-9C7E-EFB61FDB066B}"/>
                </a:ext>
              </a:extLst>
            </xdr:cNvPr>
            <xdr:cNvSpPr txBox="1"/>
          </xdr:nvSpPr>
          <xdr:spPr>
            <a:xfrm>
              <a:off x="922020" y="5311140"/>
              <a:ext cx="56146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"𝑆𝑡𝑎𝑟𝑡𝑢𝑝 𝑐𝑜𝑠𝑡 = 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start_up_time [h]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∗ 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1/eff_el []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 𝐹𝑈𝐸𝐿_𝐶𝑂𝑆𝑇 [𝐸𝑈𝑅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/kWh_el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]+ 𝑂𝑃𝐸𝑋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_fix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∗ 0.5</a:t>
              </a:r>
              <a:r>
                <a:rPr lang="it-IT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48</a:t>
              </a:r>
              <a:r>
                <a:rPr lang="en-GB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n-GB" sz="1100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 editAs="oneCell">
    <xdr:from>
      <xdr:col>11</xdr:col>
      <xdr:colOff>53340</xdr:colOff>
      <xdr:row>53</xdr:row>
      <xdr:rowOff>53339</xdr:rowOff>
    </xdr:from>
    <xdr:to>
      <xdr:col>19</xdr:col>
      <xdr:colOff>76199</xdr:colOff>
      <xdr:row>71</xdr:row>
      <xdr:rowOff>71402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A78D0F-439D-4199-8F5C-6E7C19BD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5760" y="8100059"/>
          <a:ext cx="4899659" cy="33099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ia Puddu" id="{3A570543-CE0C-4FE9-92C2-995D0228DD10}" userId="S::10573664@polimi.it::3a0ffbc4-3ec6-4cc6-bb26-0f50b1f636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1-16T14:01:27.11" personId="{3A570543-CE0C-4FE9-92C2-995D0228DD10}" id="{80AF2591-86FF-4446-9057-995B9E42D8E9}">
    <text>Obtained from eff_el or COP at last column.
The data for the efficiency has been obtained from values in Normalized Maps excel file, which are from real data.</text>
  </threadedComment>
  <threadedComment ref="D3" dT="2026-01-16T14:19:24.04" personId="{3A570543-CE0C-4FE9-92C2-995D0228DD10}" id="{A8BD41BE-D855-4E38-9CA3-A8F34DDC222A}">
    <text>UDM: kW_LHV-NG</text>
  </threadedComment>
  <threadedComment ref="M3" dT="2025-10-06T12:47:57.20" personId="{3A570543-CE0C-4FE9-92C2-995D0228DD10}" id="{DDE7384B-5D9B-4299-BD6B-07255D0D5F8D}">
    <text>5-10 full eletrical output
15 min full heat output</text>
  </threadedComment>
  <threadedComment ref="P3" dT="2026-01-16T14:13:14.44" personId="{3A570543-CE0C-4FE9-92C2-995D0228DD10}" id="{60D9EAA8-5F5B-41AE-93A6-99F43CE02053}">
    <text>y = CAPEX specific (€/kW_el), 
x = size (kW_el)</text>
  </threadedComment>
  <threadedComment ref="Q3" dT="2026-01-16T14:13:14.44" personId="{3A570543-CE0C-4FE9-92C2-995D0228DD10}" id="{623C534B-F3F9-483F-9B57-6F55D6D3E3D6}">
    <text>y_in = CAPEX specific (€/kW_LHV-NG), 
x_in = size_input (kW_LHV-NG)
NOTE:
X_in is not the same as X of column N!</text>
  </threadedComment>
  <threadedComment ref="V3" dT="2025-12-07T10:29:05.17" personId="{3A570543-CE0C-4FE9-92C2-995D0228DD10}" id="{D3252924-37DA-40AD-8E50-85E7A07FB42E}">
    <text xml:space="preserve">UDM: k€/MWh_el
(only fuel costs, as all the other O&amp;M costs (except replacements) are considered inside O&amp;M_fix)
Price of Natural gas: 67.4 €/MWh
</text>
  </threadedComment>
  <threadedComment ref="W3" dT="2025-10-12T08:13:54.40" personId="{3A570543-CE0C-4FE9-92C2-995D0228DD10}" id="{A7D4ED8F-5C38-456E-8F9A-F48A5E2B4CD2}">
    <text xml:space="preserve">More info on separate sheet
(How O&amp;M + Replacement was calc)
</text>
  </threadedComment>
  <threadedComment ref="X3" dT="2025-12-07T10:29:05.17" personId="{3A570543-CE0C-4FE9-92C2-995D0228DD10}" id="{7AA112C9-04E3-4AB9-9A9B-F76001BD3127}">
    <text>UDM: k€/(MW_el*y)
This is the sum of all O&amp;M costs expect replacements.</text>
  </threadedComment>
  <threadedComment ref="Y3" dT="2025-10-12T08:13:54.40" personId="{3A570543-CE0C-4FE9-92C2-995D0228DD10}" id="{1632D30F-15B8-4158-A242-1CF47AA2A831}">
    <text xml:space="preserve">More info on separate sheet 
(How Start up Cost was calc)
</text>
  </threadedComment>
  <threadedComment ref="Z3" dT="2025-12-07T10:29:05.17" personId="{3A570543-CE0C-4FE9-92C2-995D0228DD10}" id="{AD398716-C214-4C47-B72D-D4C9B77742DB}">
    <text xml:space="preserve">UDM: k€/MWh_LHV-NG
(only fuel costs, as all the other O&amp;M costs (except replacements) are considered inside O&amp;M_fix)
Price of Natural gas: 33.3 €/MWh
</text>
  </threadedComment>
  <threadedComment ref="AA3" dT="2025-10-12T08:13:54.40" personId="{3A570543-CE0C-4FE9-92C2-995D0228DD10}" id="{BC451F02-5757-468E-B8C9-04CDA50C46D4}">
    <text xml:space="preserve">More info on separate sheet
(How O&amp;M + Replacement was calc)
</text>
  </threadedComment>
  <threadedComment ref="AC3" dT="2025-10-12T08:13:54.40" personId="{3A570543-CE0C-4FE9-92C2-995D0228DD10}" id="{1E63E707-497F-4D92-851D-8DA418665C88}">
    <text xml:space="preserve">More info on separate sheet 
(How Start up Cost was calc)
</text>
  </threadedComment>
  <threadedComment ref="D4" dT="2026-01-16T14:19:24.04" personId="{3A570543-CE0C-4FE9-92C2-995D0228DD10}" id="{9E44296B-72B1-46F7-B509-986F848E9DED}">
    <text>UDM: kW_LHV-NG</text>
  </threadedComment>
  <threadedComment ref="M4" dT="2025-10-06T12:47:57.20" personId="{3A570543-CE0C-4FE9-92C2-995D0228DD10}" id="{34604A75-7035-4571-8799-88A71CC49DDB}">
    <text>5-10 full eletrical output
15 min full heat output</text>
  </threadedComment>
  <threadedComment ref="P4" dT="2026-01-16T14:13:14.44" personId="{3A570543-CE0C-4FE9-92C2-995D0228DD10}" id="{B657E4A8-6D9B-487D-8C44-EA58C2303D41}">
    <text>y = CAPEX specific (€/kW_el), 
x = size (kW_el)</text>
  </threadedComment>
  <threadedComment ref="Q4" dT="2026-01-16T14:13:14.44" personId="{3A570543-CE0C-4FE9-92C2-995D0228DD10}" id="{65969549-52B7-44ED-835F-AF5351857CD5}">
    <text>y_in = CAPEX specific (€/kW_LHV-NG), 
x_in = size_input (kW_LHV-NG)
NOTE:
X_in is not the same as X of column N!</text>
  </threadedComment>
  <threadedComment ref="V4" dT="2025-12-07T10:29:05.17" personId="{3A570543-CE0C-4FE9-92C2-995D0228DD10}" id="{E873BB03-D33E-4E31-9443-E622E36C8BC3}">
    <text xml:space="preserve">UDM: k€/MWh_el
(only fuel costs, as all the other O&amp;M costs (except replacements) are considered inside O&amp;M_fix)
Price of Natural gas: 67.4 €/MWh
</text>
  </threadedComment>
  <threadedComment ref="W4" dT="2025-10-12T08:13:54.40" personId="{3A570543-CE0C-4FE9-92C2-995D0228DD10}" id="{1DC63B73-1957-4CCF-9E25-1AA960C46CB5}">
    <text xml:space="preserve">More info on separate sheet
(How O&amp;M + Replacement was calc)
</text>
  </threadedComment>
  <threadedComment ref="X4" dT="2025-12-07T10:29:05.17" personId="{3A570543-CE0C-4FE9-92C2-995D0228DD10}" id="{D9C7860B-7639-4816-A431-5E7B74A5B741}">
    <text>UDM: k€/(MW_el*y)
This is the sum of all O&amp;M costs expect replacements.</text>
  </threadedComment>
  <threadedComment ref="Y4" dT="2025-10-12T08:13:54.40" personId="{3A570543-CE0C-4FE9-92C2-995D0228DD10}" id="{8C9D047C-4EAC-4A46-BD0F-511327032537}">
    <text xml:space="preserve">More info on separate sheet 
(How Start up Cost was calc)
</text>
  </threadedComment>
  <threadedComment ref="Z4" dT="2025-12-07T10:29:05.17" personId="{3A570543-CE0C-4FE9-92C2-995D0228DD10}" id="{FE0FBA80-D5CA-4874-A131-29C3F0C554D4}">
    <text xml:space="preserve">UDM: k€/MWh_LHV-nG
(only fuel costs, as all the other O&amp;M costs (except replacements) are considered inside O&amp;M_fix)
Price of Natural gas: 33.3 €/MWh
</text>
  </threadedComment>
  <threadedComment ref="AA4" dT="2025-10-12T08:13:54.40" personId="{3A570543-CE0C-4FE9-92C2-995D0228DD10}" id="{D6E1B2E5-AEC5-4764-A0C0-97C8710CE84E}">
    <text xml:space="preserve">More info on separate sheet
(How O&amp;M + Replacement was calc)
</text>
  </threadedComment>
  <threadedComment ref="AC4" dT="2025-10-12T08:13:54.40" personId="{3A570543-CE0C-4FE9-92C2-995D0228DD10}" id="{E5D1716C-2D68-49C7-B5ED-363903D96F7D}">
    <text xml:space="preserve">More info on separate sheet 
(How Start up Cost was calc)
</text>
  </threadedComment>
  <threadedComment ref="D5" dT="2026-01-16T14:19:24.04" personId="{3A570543-CE0C-4FE9-92C2-995D0228DD10}" id="{D645D7FD-0056-4CA7-BC8E-71B63A990D45}">
    <text>UDM: kW_LHV-NG</text>
  </threadedComment>
  <threadedComment ref="M5" dT="2025-10-06T12:47:57.20" personId="{3A570543-CE0C-4FE9-92C2-995D0228DD10}" id="{0B0BAD0B-CF0A-4B46-85C1-6C780EEA2F42}">
    <text>5-10 full eletrical output
15 min full heat output</text>
  </threadedComment>
  <threadedComment ref="P5" dT="2026-01-16T14:13:14.44" personId="{3A570543-CE0C-4FE9-92C2-995D0228DD10}" id="{D74E28EC-2802-42F8-B7DB-515E0D7F81FD}">
    <text>y = CAPEX specific (€/kW_el), 
x = size (kW_el)</text>
  </threadedComment>
  <threadedComment ref="Q5" dT="2026-01-16T14:13:14.44" personId="{3A570543-CE0C-4FE9-92C2-995D0228DD10}" id="{E9C5E3B3-59A2-4932-9B1B-0B2CA5E7037E}">
    <text>y_in = CAPEX specific (€/kW_LHV-NG), 
x_in = size_input (kW_LHV-NG)
NOTE:
X_in is not the same as X of column N!</text>
  </threadedComment>
  <threadedComment ref="V5" dT="2025-12-07T10:29:05.17" personId="{3A570543-CE0C-4FE9-92C2-995D0228DD10}" id="{F9ABF4C1-CBB8-432C-B99F-17EE0D021419}">
    <text xml:space="preserve">UDM: k€/MWh_el
(only fuel costs, as all the other O&amp;M costs (except replacements) are considered inside O&amp;M_fix)
Price of Natural gas: 67.4 €/MWh
</text>
  </threadedComment>
  <threadedComment ref="W5" dT="2025-10-12T08:13:54.40" personId="{3A570543-CE0C-4FE9-92C2-995D0228DD10}" id="{CDB5A625-6A67-4AD0-9DD6-AFCDFAC05C21}">
    <text xml:space="preserve">More info on separate sheet
(How O&amp;M + Replacement was calc)
</text>
  </threadedComment>
  <threadedComment ref="X5" dT="2025-12-07T10:29:05.17" personId="{3A570543-CE0C-4FE9-92C2-995D0228DD10}" id="{0095147D-5DAC-44BB-80E6-6C078C3F1CF4}">
    <text>UDM: k€/(MW_el*y)
This is the sum of all O&amp;M costs expect replacements.</text>
  </threadedComment>
  <threadedComment ref="Y5" dT="2025-10-12T08:13:54.40" personId="{3A570543-CE0C-4FE9-92C2-995D0228DD10}" id="{BEDAC2D9-9630-4063-AF7B-EBE69E0E913F}">
    <text xml:space="preserve">More info on separate sheet 
(How Start up Cost was calc)
</text>
  </threadedComment>
  <threadedComment ref="Z5" dT="2025-12-07T10:29:05.17" personId="{3A570543-CE0C-4FE9-92C2-995D0228DD10}" id="{C708577D-EF5D-4DD9-8109-A265103B60D8}">
    <text xml:space="preserve">UDM: k€/MWh_LHV-NG
(only fuel costs, as all the other O&amp;M costs (except replacements) are considered inside O&amp;M_fix)
Price of Natural gas: 33.3 €/MWh
</text>
  </threadedComment>
  <threadedComment ref="AA5" dT="2025-10-12T08:13:54.40" personId="{3A570543-CE0C-4FE9-92C2-995D0228DD10}" id="{6E63E205-4F88-4A08-847E-B0E51F34672F}">
    <text xml:space="preserve">More info on separate sheet
(How O&amp;M + Replacement was calc)
</text>
  </threadedComment>
  <threadedComment ref="AC5" dT="2025-10-12T08:13:54.40" personId="{3A570543-CE0C-4FE9-92C2-995D0228DD10}" id="{0F42019E-D2E1-4E84-9E08-DFB27320B7C0}">
    <text xml:space="preserve">More info on separate sheet 
(How Start up Cost was calc)
</text>
  </threadedComment>
  <threadedComment ref="D6" dT="2026-01-16T14:19:24.04" personId="{3A570543-CE0C-4FE9-92C2-995D0228DD10}" id="{19138D94-C84E-45C7-A7D0-8EF97F5AE7E3}">
    <text>UDM: kW_LHV-NG</text>
  </threadedComment>
  <threadedComment ref="P6" dT="2026-01-16T14:13:14.44" personId="{3A570543-CE0C-4FE9-92C2-995D0228DD10}" id="{5108C987-9A1B-4C05-BFCC-E2A9B3B128D5}">
    <text>y = CAPEX specific (€/kW_el), 
x = size (kW_el)</text>
  </threadedComment>
  <threadedComment ref="Q6" dT="2026-01-16T14:13:14.44" personId="{3A570543-CE0C-4FE9-92C2-995D0228DD10}" id="{8EC1C765-B1E6-4125-B56A-1C3ADF491272}">
    <text>y_in = CAPEX specific (€/kW_LHV-NG), 
x_in = size_input (kW_LHV-NG)
NOTE:
X_in is not the same as X of column N!</text>
  </threadedComment>
  <threadedComment ref="V6" dT="2025-12-07T10:29:05.17" personId="{3A570543-CE0C-4FE9-92C2-995D0228DD10}" id="{D65BCBCD-3109-45F3-A998-AEC5B529AC70}">
    <text xml:space="preserve">UDM: k€/MWh_el
(only fuel costs, as all the other O&amp;M costs (except replacements) are considered inside O&amp;M_fix)
Price of Natural gas: 67.4 €/MWh
</text>
  </threadedComment>
  <threadedComment ref="W6" dT="2025-10-12T08:13:54.40" personId="{3A570543-CE0C-4FE9-92C2-995D0228DD10}" id="{1FB0B63E-26BA-4FCE-90A3-0E59753DFDFB}">
    <text xml:space="preserve">More info on separate sheet
(How O&amp;M + Replacement was calc)
</text>
  </threadedComment>
  <threadedComment ref="X6" dT="2025-12-07T10:29:05.17" personId="{3A570543-CE0C-4FE9-92C2-995D0228DD10}" id="{B7C221D4-F3D4-46CA-B232-5230F93D97C5}">
    <text>UDM: k€/(MW_el*y)
This is the sum of all O&amp;M costs expect replacements.</text>
  </threadedComment>
  <threadedComment ref="Y6" dT="2025-10-12T08:13:54.40" personId="{3A570543-CE0C-4FE9-92C2-995D0228DD10}" id="{F75AA5F9-7FEB-419C-976F-2EF62AADDAB6}">
    <text xml:space="preserve">More info on separate sheet 
(How Start up Cost was calc)
</text>
  </threadedComment>
  <threadedComment ref="Z6" dT="2025-12-07T10:29:05.17" personId="{3A570543-CE0C-4FE9-92C2-995D0228DD10}" id="{4AD6AFE2-479C-4174-9A4A-39E6799B431A}">
    <text xml:space="preserve">UDM: k€/MWh_LHV-NG
(only fuel costs, as all the other O&amp;M costs (except replacements) are considered inside O&amp;M_fix)
Price of Natural gas: 33.3 €/MWh
</text>
  </threadedComment>
  <threadedComment ref="AA6" dT="2025-10-12T08:13:54.40" personId="{3A570543-CE0C-4FE9-92C2-995D0228DD10}" id="{446476D8-2CC9-42BC-84CE-2DF112BC1160}">
    <text xml:space="preserve">More info on separate sheet
(How O&amp;M + Replacement was calc)
</text>
  </threadedComment>
  <threadedComment ref="AC6" dT="2025-10-12T08:13:54.40" personId="{3A570543-CE0C-4FE9-92C2-995D0228DD10}" id="{F90C04C1-4260-4D7C-AE40-8AB4044D4559}">
    <text xml:space="preserve">More info on separate sheet 
(How Start up Cost was calc)
</text>
  </threadedComment>
  <threadedComment ref="D7" dT="2026-01-16T14:19:24.04" personId="{3A570543-CE0C-4FE9-92C2-995D0228DD10}" id="{1044F9D0-B4E2-4BA4-A90D-CDF3E2F004D3}">
    <text>UDM: kW_LHV-NG</text>
  </threadedComment>
  <threadedComment ref="P7" dT="2026-01-16T14:13:14.44" personId="{3A570543-CE0C-4FE9-92C2-995D0228DD10}" id="{D25BC4A8-51FB-46F0-93EC-B4A059FFB574}">
    <text>y = CAPEX specific (€/kW_el), 
x = size (kW_el)</text>
  </threadedComment>
  <threadedComment ref="Q7" dT="2026-01-16T14:13:14.44" personId="{3A570543-CE0C-4FE9-92C2-995D0228DD10}" id="{77C7FA1A-4762-4C6D-A6EB-B17DDD79EE14}">
    <text>y_in = CAPEX specific (€/kW_LHV-NG), 
x_in = size_input (kW_LHV-NG)
NOTE:
X_in is not the same as X of column N!</text>
  </threadedComment>
  <threadedComment ref="V7" dT="2025-12-07T10:29:05.17" personId="{3A570543-CE0C-4FE9-92C2-995D0228DD10}" id="{C6B2C7FD-0769-4F2E-B4FE-F8518C6BCA8C}">
    <text xml:space="preserve">UDM: k€/MWh_el
(only fuel costs, as all the other O&amp;M costs (except replacements) are considered inside O&amp;M_fix)
Price of Natural gas: 67.4 €/MWh
</text>
  </threadedComment>
  <threadedComment ref="W7" dT="2025-10-12T08:13:54.40" personId="{3A570543-CE0C-4FE9-92C2-995D0228DD10}" id="{D6921062-F22F-4D16-9664-21B5CAEF50E1}">
    <text xml:space="preserve">More info on separate sheet
(How O&amp;M + Replacement was calc)
</text>
  </threadedComment>
  <threadedComment ref="X7" dT="2025-12-07T10:29:05.17" personId="{3A570543-CE0C-4FE9-92C2-995D0228DD10}" id="{21DE704C-E5E1-4421-A920-B639DDFAA162}">
    <text>UDM: k€/(MW_el*y)
This is the sum of all O&amp;M costs expect replacements.</text>
  </threadedComment>
  <threadedComment ref="Y7" dT="2025-10-12T08:13:54.40" personId="{3A570543-CE0C-4FE9-92C2-995D0228DD10}" id="{1597B1CE-E88D-478D-8B1E-BEC1A2DEE7A1}">
    <text xml:space="preserve">More info on separate sheet 
(How Start up Cost was calc)
</text>
  </threadedComment>
  <threadedComment ref="Z7" dT="2025-12-07T10:29:05.17" personId="{3A570543-CE0C-4FE9-92C2-995D0228DD10}" id="{A72D3B1A-A62C-4B74-ABEA-6BC303B3D87D}">
    <text xml:space="preserve">UDM: k€/MWh_LHV-NG
(only fuel costs, as all the other O&amp;M costs (except replacements) are considered inside O&amp;M_fix)
Price of Natural gas: 33.3 €/MWh
</text>
  </threadedComment>
  <threadedComment ref="AA7" dT="2025-10-12T08:13:54.40" personId="{3A570543-CE0C-4FE9-92C2-995D0228DD10}" id="{D046B94F-3C08-430F-BA68-EA9FB5781AE8}">
    <text xml:space="preserve">More info on separate sheet
(How O&amp;M + Replacement was calc)
</text>
  </threadedComment>
  <threadedComment ref="AC7" dT="2025-10-12T08:13:54.40" personId="{3A570543-CE0C-4FE9-92C2-995D0228DD10}" id="{EA56B2CA-5A7C-4A1A-9495-6E3834F65CA0}">
    <text xml:space="preserve">More info on separate sheet 
(How Start up Cost was calc)
</text>
  </threadedComment>
  <threadedComment ref="D8" dT="2025-12-15T09:53:08.04" personId="{3A570543-CE0C-4FE9-92C2-995D0228DD10}" id="{8C93EBA5-8B67-47B6-A140-66CA4294C3CB}">
    <text>UDM: kW_LHV (H2)</text>
  </threadedComment>
  <threadedComment ref="P8" dT="2026-01-16T14:13:14.44" personId="{3A570543-CE0C-4FE9-92C2-995D0228DD10}" id="{2F755258-9362-4886-9F18-39981B4F71ED}">
    <text>y = CAPEX specific (€/kW_el), 
x = size (kW_el)</text>
  </threadedComment>
  <threadedComment ref="Q8" dT="2026-01-16T14:13:14.44" personId="{3A570543-CE0C-4FE9-92C2-995D0228DD10}" id="{E21E3376-A0A5-41A0-9518-3EBF6D776C92}">
    <text>y_in = CAPEX specific (€/kW_LHV-H2), 
x_in = size_input (kW_LHV-H2)
NOTE:
X_in is not the same as X of column N!</text>
  </threadedComment>
  <threadedComment ref="V8" dT="2025-10-16T07:29:25.75" personId="{3A570543-CE0C-4FE9-92C2-995D0228DD10}" id="{C3B4502E-397B-459E-AB43-AA8B35AF77E3}">
    <text>UDM: k€/MWh_el
(only fuel costs, as all the other O&amp;M costs (except replacements) are considered inside O&amp;M_fix)
Price of H2 (Italy): 0.296 €/kWh
Efficiency of PEMFC 45% (el)
-&gt; 0.296 k€/MWh / 0.45 = 0.6513€/MWh
(variable cost = fuel cost only)</text>
  </threadedComment>
  <threadedComment ref="W8" dT="2025-10-12T08:13:54.40" personId="{3A570543-CE0C-4FE9-92C2-995D0228DD10}" id="{DCF70995-A8E1-4F80-B8D7-6FB19AC20CC1}">
    <text xml:space="preserve">More info on separate sheet
(How O&amp;M + Replacement was calc)
</text>
  </threadedComment>
  <threadedComment ref="X8" dT="2025-12-07T10:29:05.17" personId="{3A570543-CE0C-4FE9-92C2-995D0228DD10}" id="{C527B711-22CD-418D-AB79-5727B6C8BC7A}">
    <text>UDM: k€/(MW_el*y)
This is the sum of all O&amp;M costs expect replacements.</text>
  </threadedComment>
  <threadedComment ref="Y8" dT="2025-10-12T08:13:54.40" personId="{3A570543-CE0C-4FE9-92C2-995D0228DD10}" id="{8E0A63BE-F13E-41AD-B1D2-A1A93A030C4C}">
    <text xml:space="preserve">More info on separate sheet 
(How Start up Cost was calc)
</text>
  </threadedComment>
  <threadedComment ref="Z8" dT="2025-12-07T10:29:05.17" personId="{3A570543-CE0C-4FE9-92C2-995D0228DD10}" id="{E4892F80-C29E-4395-A0AC-60EEEFDC962F}">
    <text xml:space="preserve">UDM: k€/MWh_LHV-H2
(only fuel costs, as all the other O&amp;M costs (except replacements) are considered inside O&amp;M_fix)
Price of H2: 293 €/MWh
</text>
  </threadedComment>
  <threadedComment ref="AA8" dT="2025-10-12T08:13:54.40" personId="{3A570543-CE0C-4FE9-92C2-995D0228DD10}" id="{C5CB21A3-70B3-4770-A981-328057B788E9}">
    <text xml:space="preserve">More info on separate sheet
(How O&amp;M + Replacement was calc)
</text>
  </threadedComment>
  <threadedComment ref="AC8" dT="2025-10-12T08:13:54.40" personId="{3A570543-CE0C-4FE9-92C2-995D0228DD10}" id="{A4A4E419-C1E0-428B-8E4A-15E32BAED2A8}">
    <text xml:space="preserve">More info on separate sheet 
(How Start up Cost was calc)
</text>
  </threadedComment>
  <threadedComment ref="D9" dT="2025-12-15T09:53:08.04" personId="{3A570543-CE0C-4FE9-92C2-995D0228DD10}" id="{43BD3C21-BBF9-4667-86B6-47179B76E4B2}">
    <text>UDM: kW_LHV (H2)</text>
  </threadedComment>
  <threadedComment ref="P9" dT="2026-01-16T14:13:14.44" personId="{3A570543-CE0C-4FE9-92C2-995D0228DD10}" id="{89793473-30EF-4721-BEE6-345E24F9C135}">
    <text>y = CAPEX specific (€/kW_el), 
x = size (kW_el)</text>
  </threadedComment>
  <threadedComment ref="Q9" dT="2026-01-16T14:13:14.44" personId="{3A570543-CE0C-4FE9-92C2-995D0228DD10}" id="{258116F4-0492-4FD3-9CC2-5A620B728D9A}">
    <text>y_in = CAPEX specific (€/kW_LHV-H2), 
x_in = size_input (kW_LHV-H2)
NOTE:
X_in is not the same as X of column N!</text>
  </threadedComment>
  <threadedComment ref="V9" dT="2025-10-16T07:29:25.75" personId="{3A570543-CE0C-4FE9-92C2-995D0228DD10}" id="{888FA544-1B01-4CC7-B0AF-5B274419A501}">
    <text>UDM: k€/MWh_el
(only fuel costs, as all the other O&amp;M costs (except replacements) are considered inside O&amp;M_fix)
Price of H2 (Italy): 0.296 €/kWh
Efficiency of PEMFC 45% (el)
-&gt; 0.296 k€/MWh / 0.45 = 0.6513€/MWh
(variable cost = fuel cost only)</text>
  </threadedComment>
  <threadedComment ref="W9" dT="2025-10-12T08:13:54.40" personId="{3A570543-CE0C-4FE9-92C2-995D0228DD10}" id="{3E00528A-4650-4391-99E3-408A81201018}">
    <text xml:space="preserve">More info on separate sheet
(How O&amp;M + Replacement was calc)
</text>
  </threadedComment>
  <threadedComment ref="X9" dT="2025-12-07T10:29:05.17" personId="{3A570543-CE0C-4FE9-92C2-995D0228DD10}" id="{50DBD87E-FB22-40FB-95E5-6398242308DF}">
    <text>UDM: k€/(MW_el*y)
This is the sum of all O&amp;M costs expect replacements.</text>
  </threadedComment>
  <threadedComment ref="Y9" dT="2025-10-12T08:13:54.40" personId="{3A570543-CE0C-4FE9-92C2-995D0228DD10}" id="{2CEAE64D-41BA-4E96-939D-AA989923E092}">
    <text xml:space="preserve">More info on separate sheet 
(How Start up Cost was calc)
</text>
  </threadedComment>
  <threadedComment ref="Z9" dT="2025-12-07T10:29:05.17" personId="{3A570543-CE0C-4FE9-92C2-995D0228DD10}" id="{71A91FF7-4FA1-44BF-A168-9BB87395070A}">
    <text xml:space="preserve">UDM: k€/MWh_LHV-H2
(only fuel costs, as all the other O&amp;M costs (except replacements) are considered inside O&amp;M_fix)
Price of H2: 293 €/MWh
</text>
  </threadedComment>
  <threadedComment ref="AA9" dT="2025-10-12T08:13:54.40" personId="{3A570543-CE0C-4FE9-92C2-995D0228DD10}" id="{AC0BB08C-B483-48BF-B518-192478A1D803}">
    <text xml:space="preserve">More info on separate sheet
(How O&amp;M + Replacement was calc)
</text>
  </threadedComment>
  <threadedComment ref="AC9" dT="2025-10-12T08:13:54.40" personId="{3A570543-CE0C-4FE9-92C2-995D0228DD10}" id="{CC51B2D6-F0FA-412F-9F56-1E1D5E6DDB30}">
    <text xml:space="preserve">More info on separate sheet 
(How Start up Cost was calc)
</text>
  </threadedComment>
  <threadedComment ref="D10" dT="2026-01-16T14:19:24.04" personId="{3A570543-CE0C-4FE9-92C2-995D0228DD10}" id="{9354E3D6-4DCB-407A-9BBE-ABB8DEDC23CB}">
    <text>UDM: kW_LHV-NG</text>
  </threadedComment>
  <threadedComment ref="P10" dT="2026-01-16T14:13:14.44" personId="{3A570543-CE0C-4FE9-92C2-995D0228DD10}" id="{11717F03-1DD6-4B78-95B9-B8D21C9631ED}">
    <text>y = CAPEX specific (€/kW_th), 
x = size (kW_th)</text>
  </threadedComment>
  <threadedComment ref="Q10" dT="2026-01-16T14:13:14.44" personId="{3A570543-CE0C-4FE9-92C2-995D0228DD10}" id="{6CDA791D-A8DD-4A36-BDAE-CB7F75CE4D37}">
    <text>y_in = CAPEX specific (€/kW_LHV-NG), 
x_in = size_input (kW_LHV-NG)
NOTE:
X_in is not the same as X of column N!</text>
  </threadedComment>
  <threadedComment ref="V10" dT="2025-10-16T07:29:25.75" personId="{3A570543-CE0C-4FE9-92C2-995D0228DD10}" id="{86218237-4EC4-48D6-90F4-481D080947A7}">
    <text>UDM: k€/MWh_LHV-NG
(only fuel costs, as all the other O&amp;M costs (except replacements) are considered inside O&amp;M_fix)
Price of Natural gas: 67.4 €/MWh
(variable cost = fuel cost only)</text>
  </threadedComment>
  <threadedComment ref="W10" dT="2025-10-12T08:13:54.40" personId="{3A570543-CE0C-4FE9-92C2-995D0228DD10}" id="{2BAE6BE0-89A9-4DBC-BA9A-12C669F6CDC8}">
    <text>More info on separate sheet
(How O&amp;M + Replacement was calc)
CF is so low due to this boilers being decentralized and redentials.</text>
  </threadedComment>
  <threadedComment ref="X10" dT="2025-12-07T10:29:05.17" personId="{3A570543-CE0C-4FE9-92C2-995D0228DD10}" id="{BB2715A7-5FCF-404C-80BA-CCC0631F12A1}">
    <text>UDM: k€/(MW_th*y)
This is the sum of all O&amp;M costs expect replacements.</text>
  </threadedComment>
  <threadedComment ref="Y10" dT="2025-10-12T08:13:54.40" personId="{3A570543-CE0C-4FE9-92C2-995D0228DD10}" id="{B058ADC0-483C-48AF-AB33-2A05B19DC200}">
    <text xml:space="preserve">More info on separate sheet 
(How Start up Cost was calc)
</text>
  </threadedComment>
  <threadedComment ref="Z10" dT="2025-12-07T10:29:05.17" personId="{3A570543-CE0C-4FE9-92C2-995D0228DD10}" id="{BEB19DCB-B6A5-43B6-B218-8985137FC7E9}">
    <text xml:space="preserve">UDM: k€/MWh_LHV-NG
(only fuel costs, as all the other O&amp;M costs (except replacements) are considered inside O&amp;M_fix)
Price of Natural gas: 33.3 €/MWh
</text>
  </threadedComment>
  <threadedComment ref="AA10" dT="2025-10-12T08:13:54.40" personId="{3A570543-CE0C-4FE9-92C2-995D0228DD10}" id="{A313A28A-D6AA-4140-B61A-0B3A88233A84}">
    <text>More info on separate sheet
(How O&amp;M + Replacement was calc)
CF is so low due to this boilers being decentralized and redentials.</text>
  </threadedComment>
  <threadedComment ref="AC10" dT="2025-10-12T08:13:54.40" personId="{3A570543-CE0C-4FE9-92C2-995D0228DD10}" id="{CC5DA1A6-211E-4315-943F-630EB2B811BF}">
    <text xml:space="preserve">More info on separate sheet 
(How Start up Cost was calc)
</text>
  </threadedComment>
  <threadedComment ref="D11" dT="2026-01-16T14:19:24.04" personId="{3A570543-CE0C-4FE9-92C2-995D0228DD10}" id="{105FB133-ECB4-4787-B2DD-A06121224126}">
    <text>UDM: kW_LHV-NG</text>
  </threadedComment>
  <threadedComment ref="P11" dT="2026-01-16T14:13:14.44" personId="{3A570543-CE0C-4FE9-92C2-995D0228DD10}" id="{86356147-81F0-4D3E-80EF-FD8D71F96367}">
    <text>y = CAPEX specific (€/kW_th), 
x = size (kW_th)</text>
  </threadedComment>
  <threadedComment ref="Q11" dT="2026-01-16T14:13:14.44" personId="{3A570543-CE0C-4FE9-92C2-995D0228DD10}" id="{1C5235A1-85BA-43D0-9BF3-AEA7CB340B22}">
    <text>y_in = CAPEX specific (€/kW_LHV-NG), 
x_in = size_input (kW_LHV-NG)
NOTE:
X_in is not the same as X of column N!</text>
  </threadedComment>
  <threadedComment ref="V11" dT="2025-10-16T07:29:25.75" personId="{3A570543-CE0C-4FE9-92C2-995D0228DD10}" id="{B5237685-CDE3-434B-AB72-E8CF710023E6}">
    <text>UDM: k€/MWh_LHV-NG
(only fuel costs, as all the other O&amp;M costs (except replacements) are considered inside O&amp;M_fix)
Price of Natural gas: 67.4 €/MWh
(variable cost = fuel cost only)</text>
  </threadedComment>
  <threadedComment ref="W11" dT="2025-10-12T08:13:54.40" personId="{3A570543-CE0C-4FE9-92C2-995D0228DD10}" id="{FDE69541-33BE-4D71-B602-DB0253731BFC}">
    <text xml:space="preserve">More info on separate sheet
(How O&amp;M + Replacement was calc)
</text>
  </threadedComment>
  <threadedComment ref="X11" dT="2025-12-07T10:29:05.17" personId="{3A570543-CE0C-4FE9-92C2-995D0228DD10}" id="{923501A0-4F14-4A76-8AD3-7A2659050310}">
    <text>UDM: k€/(MW_th*y)
This is the sum of all O&amp;M costs expect replacements.</text>
  </threadedComment>
  <threadedComment ref="Y11" dT="2025-10-12T08:13:54.40" personId="{3A570543-CE0C-4FE9-92C2-995D0228DD10}" id="{57EA561C-59EF-427E-9479-C55D749D6806}">
    <text xml:space="preserve">More info on separate sheet 
(How Start up Cost was calc)
</text>
  </threadedComment>
  <threadedComment ref="Z11" dT="2025-12-07T10:29:05.17" personId="{3A570543-CE0C-4FE9-92C2-995D0228DD10}" id="{24891338-F9C9-4127-BC5E-961063762DD9}">
    <text xml:space="preserve">UDM: k€/MWh_LHV-NG
(only fuel costs, as all the other O&amp;M costs (except replacements) are considered inside O&amp;M_fix)
Price of Natural gas: 33.3 €/MWh
</text>
  </threadedComment>
  <threadedComment ref="AA11" dT="2025-10-12T08:13:54.40" personId="{3A570543-CE0C-4FE9-92C2-995D0228DD10}" id="{FBFEC75B-106D-43B1-9CA8-89EDDAD48147}">
    <text xml:space="preserve">More info on separate sheet
(How O&amp;M + Replacement was calc)
</text>
  </threadedComment>
  <threadedComment ref="AC11" dT="2025-10-12T08:13:54.40" personId="{3A570543-CE0C-4FE9-92C2-995D0228DD10}" id="{C50AE702-B373-49F0-90D7-329E610F965D}">
    <text xml:space="preserve">More info on separate sheet 
(How Start up Cost was calc)
</text>
  </threadedComment>
  <threadedComment ref="D12" dT="2026-01-16T14:19:24.04" personId="{3A570543-CE0C-4FE9-92C2-995D0228DD10}" id="{2F5ED969-335D-4CB6-9BCD-89E7271CCED8}">
    <text>UDM: kW_LHV-NG</text>
  </threadedComment>
  <threadedComment ref="P12" dT="2026-01-16T14:13:14.44" personId="{3A570543-CE0C-4FE9-92C2-995D0228DD10}" id="{3DA5CE40-8890-48A2-A4A9-83645F2184F6}">
    <text>y = CAPEX specific (€/MW_th), 
x = size (MW_th)</text>
  </threadedComment>
  <threadedComment ref="Q12" dT="2026-01-16T14:13:14.44" personId="{3A570543-CE0C-4FE9-92C2-995D0228DD10}" id="{981F5718-A9F3-4167-821E-7240A6D197ED}">
    <text>y_in = CAPEX specific (€/MW_LHV-NG), 
x_in = size_input (MW_LHV-NG)
NOTE:
X_in is not the same as X of column N!</text>
  </threadedComment>
  <threadedComment ref="V12" dT="2025-10-16T07:29:25.75" personId="{3A570543-CE0C-4FE9-92C2-995D0228DD10}" id="{F93B533A-3682-46F5-A9CE-968F95E45232}">
    <text>UDM: k€/MWh_LHV-NG
(only fuel costs, as all the other O&amp;M costs (except replacements) are considered inside O&amp;M_fix)
Price of Natural gas: 67.4 €/MWh
(variable cost = fuel cost only)</text>
  </threadedComment>
  <threadedComment ref="W12" dT="2025-10-12T08:13:54.40" personId="{3A570543-CE0C-4FE9-92C2-995D0228DD10}" id="{56F1B77B-82CF-4B36-B646-E98F5AE3DBF4}">
    <text xml:space="preserve">More info on separate sheet
(How O&amp;M + Replacement was calc)
</text>
  </threadedComment>
  <threadedComment ref="X12" dT="2025-12-07T10:29:05.17" personId="{3A570543-CE0C-4FE9-92C2-995D0228DD10}" id="{630C2BEB-8247-455C-B536-8855F79FBEA3}">
    <text>UDM: k€/(MW_th*y)
This is the sum of all O&amp;M costs expect replacements.</text>
  </threadedComment>
  <threadedComment ref="Y12" dT="2025-10-12T08:13:54.40" personId="{3A570543-CE0C-4FE9-92C2-995D0228DD10}" id="{F31E9C16-D4D9-47F8-8FD1-5EA86081D476}">
    <text xml:space="preserve">More info on separate sheet 
(How Start up Cost was calc)
</text>
  </threadedComment>
  <threadedComment ref="Z12" dT="2025-12-07T10:29:05.17" personId="{3A570543-CE0C-4FE9-92C2-995D0228DD10}" id="{F20907D4-A898-45BD-AE54-40068322FA67}">
    <text xml:space="preserve">UDM: k€/MWh_LHV-NG
(only fuel costs, as all the other O&amp;M costs (except replacements) are considered inside O&amp;M_fix)
Price of Natural gas: 33.3 €/MWh
</text>
  </threadedComment>
  <threadedComment ref="AA12" dT="2025-10-12T08:13:54.40" personId="{3A570543-CE0C-4FE9-92C2-995D0228DD10}" id="{90D86809-0027-4266-8D1C-14FCDA830426}">
    <text xml:space="preserve">More info on separate sheet
(How O&amp;M + Replacement was calc)
</text>
  </threadedComment>
  <threadedComment ref="AC12" dT="2025-10-12T08:13:54.40" personId="{3A570543-CE0C-4FE9-92C2-995D0228DD10}" id="{0D6BFA6A-E4C3-4230-BC81-3168037B3F44}">
    <text xml:space="preserve">More info on separate sheet 
(How Start up Cost was calc)
</text>
  </threadedComment>
  <threadedComment ref="D13" dT="2026-01-16T14:19:24.04" personId="{3A570543-CE0C-4FE9-92C2-995D0228DD10}" id="{22DB89E5-8552-4141-9BE5-FD13E082697B}">
    <text>UDM: kW_el</text>
  </threadedComment>
  <threadedComment ref="P13" dT="2026-01-16T14:13:14.44" personId="{3A570543-CE0C-4FE9-92C2-995D0228DD10}" id="{9627DA21-8568-415E-98C6-F25348B23D45}">
    <text>y = CAPEX specific (€/kW_th), 
x = size (kW_th)</text>
  </threadedComment>
  <threadedComment ref="Q13" dT="2026-01-16T14:13:14.44" personId="{3A570543-CE0C-4FE9-92C2-995D0228DD10}" id="{B734AD01-8563-4CB3-B897-9199611209BD}">
    <text>y = CAPEX specific (€/kW_el), 
x = size (kW_el)</text>
  </threadedComment>
  <threadedComment ref="V13" dT="2025-10-19T10:27:00.29" personId="{3A570543-CE0C-4FE9-92C2-995D0228DD10}" id="{C94A63B7-9356-4E0C-8CCD-A2E68071336F}">
    <text>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ext>
  </threadedComment>
  <threadedComment ref="W13" dT="2025-10-12T08:13:54.40" personId="{3A570543-CE0C-4FE9-92C2-995D0228DD10}" id="{53EFE934-A3C9-4C48-BAEF-E247DB51A9DF}">
    <text xml:space="preserve">More info on separate sheet
(How O&amp;M + Replacement was calc)
</text>
  </threadedComment>
  <threadedComment ref="X13" dT="2026-01-16T19:10:06.11" personId="{3A570543-CE0C-4FE9-92C2-995D0228DD10}" id="{3611CD2F-7986-40CB-9EB4-C173FAC7D64A}">
    <text xml:space="preserve">UDM: k€/(MW_th*y)
This is the sum of all O&amp;M costs expect replacements.
</text>
  </threadedComment>
  <threadedComment ref="Y13" dT="2025-10-12T08:13:54.40" personId="{3A570543-CE0C-4FE9-92C2-995D0228DD10}" id="{6398C4DA-B07E-4F88-ACA7-ED491F8724D7}">
    <text xml:space="preserve">More info on separate sheet 
(How Start up Cost was calc)
</text>
  </threadedComment>
  <threadedComment ref="Z13" dT="2025-12-07T10:29:05.17" personId="{3A570543-CE0C-4FE9-92C2-995D0228DD10}" id="{0C8AD0C6-D7F7-4E6B-9452-1B496D432C47}">
    <text>UDM: k€/MWh_el
(only electricity costs, as all the other O&amp;M costs (except replacements) are considered inside O&amp;M_fix)</text>
  </threadedComment>
  <threadedComment ref="AA13" dT="2025-10-12T08:13:54.40" personId="{3A570543-CE0C-4FE9-92C2-995D0228DD10}" id="{B4EF2A8E-D576-4BE6-8D76-E6FBF6760F99}">
    <text xml:space="preserve">More info on separate sheet
(How O&amp;M + Replacement was calc)
</text>
  </threadedComment>
  <threadedComment ref="AB13" dT="2026-01-16T19:10:06.11" personId="{3A570543-CE0C-4FE9-92C2-995D0228DD10}" id="{BD47B02C-3282-411B-AE2B-394DDCF89A70}">
    <text xml:space="preserve">UDM: k€/(MW_el*y)
This is the sum of all O&amp;M costs expect replacements.
</text>
  </threadedComment>
  <threadedComment ref="AC13" dT="2025-10-12T08:13:54.40" personId="{3A570543-CE0C-4FE9-92C2-995D0228DD10}" id="{1CB4F412-6C88-4782-B264-AF1D81DC3822}">
    <text xml:space="preserve">More info on separate sheet 
(How Start up Cost was calc)
</text>
  </threadedComment>
  <threadedComment ref="AE13" dT="2026-01-16T17:30:42.53" personId="{3A570543-CE0C-4FE9-92C2-995D0228DD10}" id="{083B1A03-D34D-432D-A301-7ABBE6A34155}">
    <text>COP</text>
  </threadedComment>
  <threadedComment ref="D14" dT="2026-01-16T14:19:24.04" personId="{3A570543-CE0C-4FE9-92C2-995D0228DD10}" id="{4ED8AD71-7264-4609-B409-F890BB503C64}">
    <text>UDM: kW_el</text>
  </threadedComment>
  <threadedComment ref="P14" dT="2026-01-16T14:13:14.44" personId="{3A570543-CE0C-4FE9-92C2-995D0228DD10}" id="{4447E516-88C0-4BA3-B161-3B81F8D5B60F}">
    <text>y = CAPEX specific (€/kW_th), 
x = size (kW_th)</text>
  </threadedComment>
  <threadedComment ref="Q14" dT="2026-01-16T14:13:14.44" personId="{3A570543-CE0C-4FE9-92C2-995D0228DD10}" id="{E9838604-B637-4EDF-89DA-6A630E5092C7}">
    <text>y = CAPEX specific (€/kW_el), 
x = size (kW_el)</text>
  </threadedComment>
  <threadedComment ref="V14" dT="2025-10-19T10:27:00.29" personId="{3A570543-CE0C-4FE9-92C2-995D0228DD10}" id="{6E4E4213-2755-4D81-B7B1-1745539DA985}">
    <text>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ext>
  </threadedComment>
  <threadedComment ref="W14" dT="2025-10-12T08:13:54.40" personId="{3A570543-CE0C-4FE9-92C2-995D0228DD10}" id="{0753A8C5-D364-4986-8863-54E1EC170B3D}">
    <text xml:space="preserve">More info on separate sheet
(How O&amp;M + Replacement was calc)
</text>
  </threadedComment>
  <threadedComment ref="X14" dT="2026-01-16T19:10:06.11" personId="{3A570543-CE0C-4FE9-92C2-995D0228DD10}" id="{4F82A085-834D-4BA5-87EE-FC8A416C31C2}">
    <text xml:space="preserve">UDM: k€/(MW_th*y)
This is the sum of all O&amp;M costs expect replacements.
</text>
  </threadedComment>
  <threadedComment ref="Y14" dT="2025-10-12T08:13:54.40" personId="{3A570543-CE0C-4FE9-92C2-995D0228DD10}" id="{8B3E1742-0E86-45CA-8EBC-E118C5989C2B}">
    <text xml:space="preserve">More info on separate sheet 
(How Start up Cost was calc)
</text>
  </threadedComment>
  <threadedComment ref="Z14" dT="2025-12-07T10:29:05.17" personId="{3A570543-CE0C-4FE9-92C2-995D0228DD10}" id="{9B2B90D3-8D1A-4A2E-8DFD-7BCAE500534A}">
    <text>UDM: k€/MWh_el
(only electricity costs, as all the other O&amp;M costs (except replacements) are considered inside O&amp;M_fix)</text>
  </threadedComment>
  <threadedComment ref="AA14" dT="2025-10-12T08:13:54.40" personId="{3A570543-CE0C-4FE9-92C2-995D0228DD10}" id="{7A673AD5-A8D6-43F5-953D-2E8FD5D576A6}">
    <text xml:space="preserve">More info on separate sheet
(How O&amp;M + Replacement was calc)
</text>
  </threadedComment>
  <threadedComment ref="AB14" dT="2026-01-16T19:10:06.11" personId="{3A570543-CE0C-4FE9-92C2-995D0228DD10}" id="{2293B66E-3588-4D42-AD3E-B6F577F99F98}">
    <text xml:space="preserve">UDM: k€/(MW_el*y)
This is the sum of all O&amp;M costs expect replacements.
</text>
  </threadedComment>
  <threadedComment ref="AC14" dT="2025-10-12T08:13:54.40" personId="{3A570543-CE0C-4FE9-92C2-995D0228DD10}" id="{A638BABB-3894-4763-B859-1B2A940F109E}">
    <text xml:space="preserve">More info on separate sheet 
(How Start up Cost was calc)
</text>
  </threadedComment>
  <threadedComment ref="AE14" dT="2026-01-16T17:30:42.53" personId="{3A570543-CE0C-4FE9-92C2-995D0228DD10}" id="{663C481D-9E3B-430B-A20A-A44C36D07F81}">
    <text>COP</text>
  </threadedComment>
  <threadedComment ref="D15" dT="2026-01-16T14:19:24.04" personId="{3A570543-CE0C-4FE9-92C2-995D0228DD10}" id="{8BACBA08-E230-4F85-903E-7FB9076A6833}">
    <text>UDM: kW_el</text>
  </threadedComment>
  <threadedComment ref="P15" dT="2026-01-16T14:13:14.44" personId="{3A570543-CE0C-4FE9-92C2-995D0228DD10}" id="{33AF1F44-9B96-4562-8F22-621606E56295}">
    <text>y = CAPEX specific (€/kW_th), 
x = size (kW_th)</text>
  </threadedComment>
  <threadedComment ref="Q15" dT="2026-01-16T14:13:14.44" personId="{3A570543-CE0C-4FE9-92C2-995D0228DD10}" id="{6010B8E0-6250-4C36-A2B1-B9EA9538D2D0}">
    <text>y = CAPEX specific (€/kW_el), 
x = size (kW_el)</text>
  </threadedComment>
  <threadedComment ref="V15" dT="2025-10-19T10:27:00.29" personId="{3A570543-CE0C-4FE9-92C2-995D0228DD10}" id="{CA64A369-9445-4852-AFC8-FA8FB0E456A9}">
    <text>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ext>
  </threadedComment>
  <threadedComment ref="W15" dT="2025-10-12T08:13:54.40" personId="{3A570543-CE0C-4FE9-92C2-995D0228DD10}" id="{91CD6194-6697-4179-AEAF-B5696E2C2AFE}">
    <text xml:space="preserve">More info on separate sheet
(How O&amp;M + Replacement was calc)
</text>
  </threadedComment>
  <threadedComment ref="X15" dT="2026-01-16T19:10:06.11" personId="{3A570543-CE0C-4FE9-92C2-995D0228DD10}" id="{FC3418E7-92BE-4ACA-8D70-2C1BEA284171}">
    <text xml:space="preserve">UDM: k€/(MW_th*y)
This is the sum of all O&amp;M costs expect replacements.
</text>
  </threadedComment>
  <threadedComment ref="Y15" dT="2025-10-12T08:13:54.40" personId="{3A570543-CE0C-4FE9-92C2-995D0228DD10}" id="{B469F9C9-7F9A-4161-98B8-072345FC8A3E}">
    <text xml:space="preserve">More info on separate sheet 
(How Start up Cost was calc)
</text>
  </threadedComment>
  <threadedComment ref="Z15" dT="2025-12-07T10:29:05.17" personId="{3A570543-CE0C-4FE9-92C2-995D0228DD10}" id="{24FA6FE5-7387-4134-874E-07A820E2D810}">
    <text>UDM: k€/MWh_el
(only electricity costs, as all the other O&amp;M costs (except replacements) are considered inside O&amp;M_fix)</text>
  </threadedComment>
  <threadedComment ref="AA15" dT="2025-10-12T08:13:54.40" personId="{3A570543-CE0C-4FE9-92C2-995D0228DD10}" id="{0783F59E-4621-46BA-9859-5A92C4887EF0}">
    <text xml:space="preserve">More info on separate sheet
(How O&amp;M + Replacement was calc)
</text>
  </threadedComment>
  <threadedComment ref="AB15" dT="2026-01-16T19:10:06.11" personId="{3A570543-CE0C-4FE9-92C2-995D0228DD10}" id="{88A5DC7D-941A-40CF-983A-4F215683229F}">
    <text xml:space="preserve">UDM: k€/(MW_el*y)
This is the sum of all O&amp;M costs expect replacements.
</text>
  </threadedComment>
  <threadedComment ref="AC15" dT="2025-10-12T08:13:54.40" personId="{3A570543-CE0C-4FE9-92C2-995D0228DD10}" id="{71E02A0D-A164-4135-B386-A613E8D15E99}">
    <text xml:space="preserve">More info on separate sheet 
(How Start up Cost was calc)
</text>
  </threadedComment>
  <threadedComment ref="AE15" dT="2026-01-16T17:30:42.53" personId="{3A570543-CE0C-4FE9-92C2-995D0228DD10}" id="{286D4D40-652B-4651-8BFF-FC9854384B0D}">
    <text>COP</text>
  </threadedComment>
  <threadedComment ref="D16" dT="2026-01-16T14:19:24.04" personId="{3A570543-CE0C-4FE9-92C2-995D0228DD10}" id="{289E94C5-CE02-410E-8A48-7DEF5F237173}">
    <text>UDM: kW_el</text>
  </threadedComment>
  <threadedComment ref="P16" dT="2026-01-16T14:13:14.44" personId="{3A570543-CE0C-4FE9-92C2-995D0228DD10}" id="{F2CC4A39-26C1-4F7C-A1E9-D0D5B581E35F}">
    <text>y = CAPEX specific (€/kW_th), 
x = size (kW_th)</text>
  </threadedComment>
  <threadedComment ref="Q16" dT="2026-01-16T14:13:14.44" personId="{3A570543-CE0C-4FE9-92C2-995D0228DD10}" id="{15239592-CB6E-430C-9222-A076CD40A48A}">
    <text>y = CAPEX specific (€/kW_el), 
x = size (kW_el)</text>
  </threadedComment>
  <threadedComment ref="V16" dT="2025-10-19T10:27:00.29" personId="{3A570543-CE0C-4FE9-92C2-995D0228DD10}" id="{84C3C1AA-0401-48D4-8027-FEF5D3DBFD82}">
    <text>UDM: k€/MWh_el
(only electricity costs, as all the other O&amp;M costs (except replacements) are considered inside O&amp;M_fix)
COP taken = 3.26
Residential Electricity cost = 0.2872 €/kWh (from [122])
Industril Electricity cost = 0.1899€/kWh (from [122])
0.05825 (industrial - energetici)
0.08810 (reisdential - energetici)</text>
  </threadedComment>
  <threadedComment ref="W16" dT="2025-10-12T08:13:54.40" personId="{3A570543-CE0C-4FE9-92C2-995D0228DD10}" id="{F8E93709-760F-4B09-8075-6837F7A9B946}">
    <text xml:space="preserve">More info on separate sheet
(How O&amp;M + Replacement was calc)
</text>
  </threadedComment>
  <threadedComment ref="X16" dT="2026-01-16T19:10:06.11" personId="{3A570543-CE0C-4FE9-92C2-995D0228DD10}" id="{5504468F-A554-4FF4-9D10-279F1622BAFF}">
    <text xml:space="preserve">UDM: k€/(MW_th*y)
This is the sum of all O&amp;M costs expect replacements.
</text>
  </threadedComment>
  <threadedComment ref="Y16" dT="2025-10-12T08:13:54.40" personId="{3A570543-CE0C-4FE9-92C2-995D0228DD10}" id="{D0FAB09A-3AB9-4BC2-8AAE-10EFD2CBF814}">
    <text xml:space="preserve">More info on separate sheet 
(How Start up Cost was calc)
</text>
  </threadedComment>
  <threadedComment ref="Z16" dT="2025-12-07T10:29:05.17" personId="{3A570543-CE0C-4FE9-92C2-995D0228DD10}" id="{552404F1-B67A-48F2-A438-078968B0B4D7}">
    <text>UDM: k€/MWh_el
(only electricity costs, as all the other O&amp;M costs (except replacements) are considered inside O&amp;M_fix)</text>
  </threadedComment>
  <threadedComment ref="AA16" dT="2025-10-12T08:13:54.40" personId="{3A570543-CE0C-4FE9-92C2-995D0228DD10}" id="{FBE1D525-2BA7-451A-892B-DD32B824DA25}">
    <text xml:space="preserve">More info on separate sheet
(How O&amp;M + Replacement was calc)
</text>
  </threadedComment>
  <threadedComment ref="AB16" dT="2026-01-16T19:10:06.11" personId="{3A570543-CE0C-4FE9-92C2-995D0228DD10}" id="{CC699E2C-F01F-4C1A-A37B-0CD262283C96}">
    <text xml:space="preserve">UDM: k€/(MW_el*y)
This is the sum of all O&amp;M costs expect replacements.
</text>
  </threadedComment>
  <threadedComment ref="AC16" dT="2025-10-12T08:13:54.40" personId="{3A570543-CE0C-4FE9-92C2-995D0228DD10}" id="{10F31E19-E113-4438-BDC5-793F79F05306}">
    <text xml:space="preserve">More info on separate sheet 
(How Start up Cost was calc)
</text>
  </threadedComment>
  <threadedComment ref="AE16" dT="2026-01-16T17:30:42.53" personId="{3A570543-CE0C-4FE9-92C2-995D0228DD10}" id="{79C77FAB-FC1F-4780-9C66-96C98BBEF0A8}">
    <text>COP</text>
  </threadedComment>
  <threadedComment ref="D17" dT="2026-01-16T14:19:24.04" personId="{3A570543-CE0C-4FE9-92C2-995D0228DD10}" id="{500582F8-7755-427C-B019-011DBF9688EA}">
    <text>UDM: kW_el</text>
  </threadedComment>
  <threadedComment ref="P17" dT="2026-01-16T14:13:14.44" personId="{3A570543-CE0C-4FE9-92C2-995D0228DD10}" id="{4C129D91-2138-46A7-98A7-5FA3211D4DAA}">
    <text>y = CAPEX specific (€/kW_th), 
x = size (kW_th)</text>
  </threadedComment>
  <threadedComment ref="Q17" dT="2026-01-16T14:13:14.44" personId="{3A570543-CE0C-4FE9-92C2-995D0228DD10}" id="{08FFA8BB-3D53-450B-BC40-86558754DD50}">
    <text>y = CAPEX specific (€/kW_el), 
x = size (kW_el)</text>
  </threadedComment>
  <threadedComment ref="V17" dT="2025-10-19T10:27:00.29" personId="{3A570543-CE0C-4FE9-92C2-995D0228DD10}" id="{59B2B577-8DB0-4E6B-AD83-7795818634D9}">
    <text>UDM: k€/MWh_el
(only electricity costs, as all the other O&amp;M costs (except replacements) are considered inside O&amp;M_fix)
EER taken = 2.96
Residential Electricity cost = 0.2872 €/kWh (from [122])
Industril Electricity cost = 0.1899€/kWh (from [122])</text>
  </threadedComment>
  <threadedComment ref="W17" dT="2025-10-12T08:13:54.40" personId="{3A570543-CE0C-4FE9-92C2-995D0228DD10}" id="{C8B40CA1-44CA-4073-85C6-917F97D0F61B}">
    <text xml:space="preserve">More info on separate sheet
(How O&amp;M + Replacement was calc)
</text>
  </threadedComment>
  <threadedComment ref="X17" dT="2026-01-16T19:10:06.11" personId="{3A570543-CE0C-4FE9-92C2-995D0228DD10}" id="{0F15AF6A-1C47-48F2-9964-D5286D78EA40}">
    <text xml:space="preserve">UDM: k€/(MW_th*y)
This is the sum of all O&amp;M costs expect replacements.
</text>
  </threadedComment>
  <threadedComment ref="Y17" dT="2025-10-12T08:13:54.40" personId="{3A570543-CE0C-4FE9-92C2-995D0228DD10}" id="{CA830E5E-9156-4E4B-86A1-672D3DF9C35D}">
    <text xml:space="preserve">More info on separate sheet 
(How Start up Cost was calc)
</text>
  </threadedComment>
  <threadedComment ref="Z17" dT="2025-12-07T10:29:05.17" personId="{3A570543-CE0C-4FE9-92C2-995D0228DD10}" id="{C14CC9CF-AE5E-4BB3-876B-9DF5CD8F4A3E}">
    <text>UDM: k€/MWh_el
(only electricity costs, as all the other O&amp;M costs (except replacements) are considered inside O&amp;M_fix)</text>
  </threadedComment>
  <threadedComment ref="AA17" dT="2025-10-12T08:13:54.40" personId="{3A570543-CE0C-4FE9-92C2-995D0228DD10}" id="{0D99D2AC-8CFC-464E-8515-96C9A3EC15A7}">
    <text xml:space="preserve">More info on separate sheet
(How O&amp;M + Replacement was calc)
</text>
  </threadedComment>
  <threadedComment ref="AB17" dT="2026-01-16T19:10:06.11" personId="{3A570543-CE0C-4FE9-92C2-995D0228DD10}" id="{1D98F920-6C93-4A1E-A1D2-678F0AD1861E}">
    <text xml:space="preserve">UDM: k€/(MW_el*y)
This is the sum of all O&amp;M costs expect replacements.
</text>
  </threadedComment>
  <threadedComment ref="AC17" dT="2025-10-12T08:13:54.40" personId="{3A570543-CE0C-4FE9-92C2-995D0228DD10}" id="{5CD1093B-C254-40DA-A39D-8B2E144E253C}">
    <text xml:space="preserve">More info on separate sheet 
(How Start up Cost was calc)
</text>
  </threadedComment>
  <threadedComment ref="AE17" dT="2026-01-16T17:30:42.53" personId="{3A570543-CE0C-4FE9-92C2-995D0228DD10}" id="{F494F4DB-EC36-40E0-9875-E15884BA674B}">
    <text>EER</text>
  </threadedComment>
  <threadedComment ref="D18" dT="2026-01-16T14:19:24.04" personId="{3A570543-CE0C-4FE9-92C2-995D0228DD10}" id="{1EB02F3C-A0FA-4C6E-AF8B-06F5A919A5A2}">
    <text>UDM: kW_el</text>
  </threadedComment>
  <threadedComment ref="P18" dT="2026-01-16T14:13:14.44" personId="{3A570543-CE0C-4FE9-92C2-995D0228DD10}" id="{4E62DD59-3A1D-4889-BACB-F6441007B01A}">
    <text>y = CAPEX specific (€/kW_th), 
x = size (kW_th)</text>
  </threadedComment>
  <threadedComment ref="Q18" dT="2026-01-16T14:13:14.44" personId="{3A570543-CE0C-4FE9-92C2-995D0228DD10}" id="{F0CE34FB-E321-4266-9C8B-42BAE2EB0000}">
    <text>y = CAPEX specific (€/kW_el), 
x = size (kW_el)</text>
  </threadedComment>
  <threadedComment ref="V18" dT="2025-10-19T10:27:00.29" personId="{3A570543-CE0C-4FE9-92C2-995D0228DD10}" id="{C08A66EC-13EA-47AB-A6EA-AA40A48C7ACD}">
    <text>UDM: k€/MWh_el
(only electricity costs, as all the other O&amp;M costs (except replacements) are considered inside O&amp;M_fix)
EER taken = 2.96
Residential Electricity cost = 0.2872 €/kWh (from [122])
Industril Electricity cost = 0.1899€/kWh (from [122])</text>
  </threadedComment>
  <threadedComment ref="W18" dT="2025-10-12T08:13:54.40" personId="{3A570543-CE0C-4FE9-92C2-995D0228DD10}" id="{C8DF8641-E1B4-49C1-9296-E1562123734D}">
    <text xml:space="preserve">More info on separate sheet
(How O&amp;M + Replacement was calc)
</text>
  </threadedComment>
  <threadedComment ref="X18" dT="2026-01-16T19:10:06.11" personId="{3A570543-CE0C-4FE9-92C2-995D0228DD10}" id="{4D55624A-3B7F-4368-BF4B-A8889793D95A}">
    <text xml:space="preserve">UDM: k€/(MW_th*y)
This is the sum of all O&amp;M costs expect replacements.
</text>
  </threadedComment>
  <threadedComment ref="Y18" dT="2025-10-12T08:13:54.40" personId="{3A570543-CE0C-4FE9-92C2-995D0228DD10}" id="{4283FD82-F17E-46EC-B78A-1286118B25F6}">
    <text xml:space="preserve">More info on separate sheet 
(How Start up Cost was calc)
</text>
  </threadedComment>
  <threadedComment ref="Z18" dT="2025-12-07T10:29:05.17" personId="{3A570543-CE0C-4FE9-92C2-995D0228DD10}" id="{A8D9EBE8-5C12-4E4F-9B78-5B6846B5563F}">
    <text>UDM: k€/MWh_el
(only electricity costs, as all the other O&amp;M costs (except replacements) are considered inside O&amp;M_fix)</text>
  </threadedComment>
  <threadedComment ref="AA18" dT="2025-10-12T08:13:54.40" personId="{3A570543-CE0C-4FE9-92C2-995D0228DD10}" id="{4570650D-E102-4EBB-B99F-5D0C1AAA7665}">
    <text xml:space="preserve">More info on separate sheet
(How O&amp;M + Replacement was calc)
</text>
  </threadedComment>
  <threadedComment ref="AB18" dT="2026-01-16T19:10:06.11" personId="{3A570543-CE0C-4FE9-92C2-995D0228DD10}" id="{12B3FEB6-DC8D-4F62-9CB5-D91D750CE22D}">
    <text xml:space="preserve">UDM: k€/(MW_el*y)
This is the sum of all O&amp;M costs expect replacements.
</text>
  </threadedComment>
  <threadedComment ref="AC18" dT="2025-10-12T08:13:54.40" personId="{3A570543-CE0C-4FE9-92C2-995D0228DD10}" id="{0AE5643E-A9F6-43B5-98F5-401FB56BE69D}">
    <text xml:space="preserve">More info on separate sheet 
(How Start up Cost was calc)
</text>
  </threadedComment>
  <threadedComment ref="AE18" dT="2026-01-16T17:30:42.53" personId="{3A570543-CE0C-4FE9-92C2-995D0228DD10}" id="{F51F5532-ED7D-499D-8489-68F24B1C317C}">
    <text>EER</text>
  </threadedComment>
  <threadedComment ref="D19" dT="2026-01-16T14:19:24.04" personId="{3A570543-CE0C-4FE9-92C2-995D0228DD10}" id="{F3B8FDAB-B929-465E-9E28-E44E0C167816}">
    <text>UDM: kW_el</text>
  </threadedComment>
  <threadedComment ref="P19" dT="2026-01-16T14:13:14.44" personId="{3A570543-CE0C-4FE9-92C2-995D0228DD10}" id="{B4D246D9-C76C-4911-BF5D-29491D7B28C3}">
    <text>y = CAPEX specific (€/kW_th), 
x = size (kW_th)</text>
  </threadedComment>
  <threadedComment ref="Q19" dT="2026-01-16T14:13:14.44" personId="{3A570543-CE0C-4FE9-92C2-995D0228DD10}" id="{0416B62C-8123-43C2-B254-5B3980514FE2}">
    <text>y = CAPEX specific (€/kW_el), 
x = size (kW_el)</text>
  </threadedComment>
  <threadedComment ref="V19" dT="2025-10-19T10:27:00.29" personId="{3A570543-CE0C-4FE9-92C2-995D0228DD10}" id="{64D10A28-DDB0-4EF6-98D3-BB7A3A1BF42C}">
    <text>UDM: k€/MWh_el
(only electricity costs, as all the other O&amp;M costs (except replacements) are considered inside O&amp;M_fix)
EER taken = 2.96
Residential Electricity cost = 0.2872 €/kWh (from [122])
Industril Electricity cost = 0.1899€/kWh (from [122])</text>
  </threadedComment>
  <threadedComment ref="W19" dT="2025-10-12T08:13:54.40" personId="{3A570543-CE0C-4FE9-92C2-995D0228DD10}" id="{3E4C684F-F3D9-489F-AAAA-A36258337C79}">
    <text xml:space="preserve">More info on separate sheet
(How O&amp;M + Replacement was calc)
</text>
  </threadedComment>
  <threadedComment ref="X19" dT="2026-01-16T19:10:06.11" personId="{3A570543-CE0C-4FE9-92C2-995D0228DD10}" id="{2793B59B-4E1B-4611-801F-49C68D2483A1}">
    <text xml:space="preserve">UDM: k€/(MW_th*y)
This is the sum of all O&amp;M costs expect replacements.
</text>
  </threadedComment>
  <threadedComment ref="Y19" dT="2025-10-12T08:13:54.40" personId="{3A570543-CE0C-4FE9-92C2-995D0228DD10}" id="{7B7F7384-1E82-48D4-A126-36C24914A727}">
    <text xml:space="preserve">More info on separate sheet 
(How Start up Cost was calc)
</text>
  </threadedComment>
  <threadedComment ref="Z19" dT="2025-12-07T10:29:05.17" personId="{3A570543-CE0C-4FE9-92C2-995D0228DD10}" id="{F52486A9-B094-4014-86EA-58B995B7ED76}">
    <text>UDM: k€/MWh_el
(only electricity costs, as all the other O&amp;M costs (except replacements) are considered inside O&amp;M_fix)</text>
  </threadedComment>
  <threadedComment ref="AA19" dT="2025-10-12T08:13:54.40" personId="{3A570543-CE0C-4FE9-92C2-995D0228DD10}" id="{B0F98EE1-05DB-4AEA-B71C-83DD675CB7FB}">
    <text xml:space="preserve">More info on separate sheet
(How O&amp;M + Replacement was calc)
</text>
  </threadedComment>
  <threadedComment ref="AB19" dT="2026-01-16T19:10:06.11" personId="{3A570543-CE0C-4FE9-92C2-995D0228DD10}" id="{0CCEA96E-972F-4249-AC89-05E7E5653CFA}">
    <text xml:space="preserve">UDM: k€/(MW_el*y)
This is the sum of all O&amp;M costs expect replacements.
</text>
  </threadedComment>
  <threadedComment ref="AC19" dT="2025-10-12T08:13:54.40" personId="{3A570543-CE0C-4FE9-92C2-995D0228DD10}" id="{0C06866F-6913-40D2-9D5E-CE0E9003CAA7}">
    <text xml:space="preserve">More info on separate sheet 
(How Start up Cost was calc)
</text>
  </threadedComment>
  <threadedComment ref="AE19" dT="2026-01-16T17:30:42.53" personId="{3A570543-CE0C-4FE9-92C2-995D0228DD10}" id="{ED20DFAC-3405-44E1-8B7A-67C480C7C47E}">
    <text>EER</text>
  </threadedComment>
  <threadedComment ref="D20" dT="2026-01-16T14:19:24.04" personId="{3A570543-CE0C-4FE9-92C2-995D0228DD10}" id="{3009B20D-0D15-4873-B3C0-1A0B4FE542E8}">
    <text>UDM: kW_el</text>
  </threadedComment>
  <threadedComment ref="P20" dT="2026-01-16T14:13:14.44" personId="{3A570543-CE0C-4FE9-92C2-995D0228DD10}" id="{58F7BB4D-981F-4C4C-BE86-9868F35CB563}">
    <text>y = CAPEX specific (€/kW_th), 
x = size (kW_th)</text>
  </threadedComment>
  <threadedComment ref="Q20" dT="2026-01-16T14:13:14.44" personId="{3A570543-CE0C-4FE9-92C2-995D0228DD10}" id="{D45190F7-1155-4DB5-90D8-8D745726A89F}">
    <text>y = CAPEX specific (€/kW_el), 
x = size (kW_el)</text>
  </threadedComment>
  <threadedComment ref="V20" dT="2025-10-19T10:27:00.29" personId="{3A570543-CE0C-4FE9-92C2-995D0228DD10}" id="{F275A212-1E77-48CF-B28B-5289601D7DC2}">
    <text>UDM: k€/MWh_el
(only electricity costs, as all the other O&amp;M costs (except replacements) are considered inside O&amp;M_fix)
EER taken = 2.96
Residential Electricity cost = 0.2872 €/kWh (from [122])
Industril Electricity cost = 0.1899€/kWh (from [122])</text>
  </threadedComment>
  <threadedComment ref="W20" dT="2025-10-12T08:13:54.40" personId="{3A570543-CE0C-4FE9-92C2-995D0228DD10}" id="{43A2A71B-A772-45C2-AC43-2A96CCA26785}">
    <text xml:space="preserve">More info on separate sheet
(How O&amp;M + Replacement was calc)
</text>
  </threadedComment>
  <threadedComment ref="X20" dT="2026-01-16T19:10:06.11" personId="{3A570543-CE0C-4FE9-92C2-995D0228DD10}" id="{6DD9CC20-75B0-425E-9765-DF7BB5017D9F}">
    <text xml:space="preserve">UDM: k€/(MW_th*y)
This is the sum of all O&amp;M costs expect replacements.
</text>
  </threadedComment>
  <threadedComment ref="Y20" dT="2025-10-12T08:13:54.40" personId="{3A570543-CE0C-4FE9-92C2-995D0228DD10}" id="{F01CF9AB-D7F2-49C9-B105-41A79FF8D5D5}">
    <text xml:space="preserve">More info on separate sheet 
(How Start up Cost was calc)
</text>
  </threadedComment>
  <threadedComment ref="Z20" dT="2025-12-07T10:29:05.17" personId="{3A570543-CE0C-4FE9-92C2-995D0228DD10}" id="{5FAAD86C-16A5-4244-B311-321AC2C4E222}">
    <text>UDM: k€/MWh_el
(only electricity costs, as all the other O&amp;M costs (except replacements) are considered inside O&amp;M_fix)</text>
  </threadedComment>
  <threadedComment ref="AA20" dT="2025-10-12T08:13:54.40" personId="{3A570543-CE0C-4FE9-92C2-995D0228DD10}" id="{A5E02285-286A-4F61-87BE-29D868AD3E20}">
    <text xml:space="preserve">More info on separate sheet
(How O&amp;M + Replacement was calc)
</text>
  </threadedComment>
  <threadedComment ref="AB20" dT="2026-01-16T19:10:06.11" personId="{3A570543-CE0C-4FE9-92C2-995D0228DD10}" id="{373C07F6-E26F-4EAE-8D44-353C5A8F187A}">
    <text xml:space="preserve">UDM: k€/(MW_el*y)
This is the sum of all O&amp;M costs expect replacements.
</text>
  </threadedComment>
  <threadedComment ref="AC20" dT="2025-10-12T08:13:54.40" personId="{3A570543-CE0C-4FE9-92C2-995D0228DD10}" id="{1A92BBFF-9EEB-45EB-B698-0BC4D89E64FD}">
    <text xml:space="preserve">More info on separate sheet 
(How Start up Cost was calc)
</text>
  </threadedComment>
  <threadedComment ref="AE20" dT="2026-01-16T17:30:42.53" personId="{3A570543-CE0C-4FE9-92C2-995D0228DD10}" id="{8B59DE99-0376-4B92-BF82-B144F53B3E39}">
    <text>EER</text>
  </threadedComment>
  <threadedComment ref="D21" dT="2026-01-16T14:19:24.04" personId="{3A570543-CE0C-4FE9-92C2-995D0228DD10}" id="{5A3EB5FC-9BE5-4D50-AFD8-C7A7FB6CD187}">
    <text>UDM: kW_el</text>
  </threadedComment>
  <threadedComment ref="P21" dT="2026-01-16T14:13:14.44" personId="{3A570543-CE0C-4FE9-92C2-995D0228DD10}" id="{DB6E2972-DF40-4DD9-906A-DC8B0CDAEAE1}">
    <text>y = CAPEX specific (€/kW_th), 
x = size (kW_th)</text>
  </threadedComment>
  <threadedComment ref="Q21" dT="2026-01-16T14:13:14.44" personId="{3A570543-CE0C-4FE9-92C2-995D0228DD10}" id="{A3C3F7A1-9B47-4417-97A7-F2512BAF9396}">
    <text>y = CAPEX specific (€/kW_el), 
x = size (kW_el)</text>
  </threadedComment>
  <threadedComment ref="V21" dT="2025-10-19T10:27:00.29" personId="{3A570543-CE0C-4FE9-92C2-995D0228DD10}" id="{8E738C04-0F03-488B-AD1B-75A6985EEC2B}">
    <text>UDM: k€/MWh_el
(only electricity costs, as all the other O&amp;M costs (except replacements) are considered inside O&amp;M_fix)
COP taken = 4.6
Industril Electricity cost = 0.1899€/kWh (from [122])
0.04128 (industrial - energetici)</text>
  </threadedComment>
  <threadedComment ref="W21" dT="2025-10-12T08:13:54.40" personId="{3A570543-CE0C-4FE9-92C2-995D0228DD10}" id="{E5DDDEEB-325C-4730-A250-59B57BFC1173}">
    <text xml:space="preserve">More info on separate sheet
(How O&amp;M + Replacement was calc)
</text>
  </threadedComment>
  <threadedComment ref="X21" dT="2026-01-16T19:10:06.11" personId="{3A570543-CE0C-4FE9-92C2-995D0228DD10}" id="{F179F3B8-A7AE-4C16-87F7-5877309F1DAE}">
    <text xml:space="preserve">UDM: k€/(MW_th*y)
This is the sum of all O&amp;M costs expect replacements.
</text>
  </threadedComment>
  <threadedComment ref="Y21" dT="2025-10-12T08:13:54.40" personId="{3A570543-CE0C-4FE9-92C2-995D0228DD10}" id="{2C418478-009E-446E-B6A2-3FEDF83DE4E5}">
    <text xml:space="preserve">More info on separate sheet 
(How Start up Cost was calc)
</text>
  </threadedComment>
  <threadedComment ref="Z21" dT="2025-12-07T10:29:05.17" personId="{3A570543-CE0C-4FE9-92C2-995D0228DD10}" id="{0C8F066D-BCD3-4B7F-AE3D-3D295C3876E2}">
    <text>UDM: k€/MWh_el
(only electricity costs, as all the other O&amp;M costs (except replacements) are considered inside O&amp;M_fix)</text>
  </threadedComment>
  <threadedComment ref="AA21" dT="2025-10-12T08:13:54.40" personId="{3A570543-CE0C-4FE9-92C2-995D0228DD10}" id="{E2FC4D90-FB23-44D3-B354-3C8F8E9C5B97}">
    <text xml:space="preserve">More info on separate sheet
(How O&amp;M + Replacement was calc)
</text>
  </threadedComment>
  <threadedComment ref="AB21" dT="2026-01-16T19:10:06.11" personId="{3A570543-CE0C-4FE9-92C2-995D0228DD10}" id="{628DDAC8-DAD0-4760-B485-779EACC95889}">
    <text xml:space="preserve">UDM: k€/(MW_el*y)
This is the sum of all O&amp;M costs expect replacements.
</text>
  </threadedComment>
  <threadedComment ref="AC21" dT="2025-10-12T08:13:54.40" personId="{3A570543-CE0C-4FE9-92C2-995D0228DD10}" id="{B5255B54-D51A-4765-9A27-9ED9452EA945}">
    <text xml:space="preserve">More info on separate sheet 
(How Start up Cost was calc)
</text>
  </threadedComment>
  <threadedComment ref="AE21" dT="2026-01-16T17:30:42.53" personId="{3A570543-CE0C-4FE9-92C2-995D0228DD10}" id="{C9769D46-E4FD-4770-A176-D43A01527129}">
    <text>COP</text>
  </threadedComment>
  <threadedComment ref="D22" dT="2026-01-16T14:19:24.04" personId="{3A570543-CE0C-4FE9-92C2-995D0228DD10}" id="{8A045E3D-F30A-4F15-9E60-CB2C8831AB5C}">
    <text>UDM: kW_el</text>
  </threadedComment>
  <threadedComment ref="P22" dT="2026-01-16T14:13:14.44" personId="{3A570543-CE0C-4FE9-92C2-995D0228DD10}" id="{D28A77E3-A38A-4425-A32C-EE362C8DFC84}">
    <text>y = CAPEX specific (€/kW_th), 
x = size (kW_th)</text>
  </threadedComment>
  <threadedComment ref="Q22" dT="2026-01-16T14:13:14.44" personId="{3A570543-CE0C-4FE9-92C2-995D0228DD10}" id="{22E81770-73AC-4779-9B17-CBC0B51D0F8A}">
    <text>y = CAPEX specific (€/kW_el), 
x = size (kW_el)</text>
  </threadedComment>
  <threadedComment ref="V22" dT="2025-10-19T10:27:00.29" personId="{3A570543-CE0C-4FE9-92C2-995D0228DD10}" id="{9E0D634B-821B-443D-8452-2D29FDAD31F6}">
    <text>UDM: k€/MWh_el
(only electricity costs, as all the other O&amp;M costs (except replacements) are considered inside O&amp;M_fix)
EER taken = 4.8
Industril Electricity cost = 0.1899€/kWh (from [122])
0.03956 (industrial - energetici)</text>
  </threadedComment>
  <threadedComment ref="W22" dT="2025-10-12T08:13:54.40" personId="{3A570543-CE0C-4FE9-92C2-995D0228DD10}" id="{D8BD17ED-4965-419C-8250-317CC32D5ABC}">
    <text xml:space="preserve">More info on separate sheet
(How O&amp;M + Replacement was calc)
</text>
  </threadedComment>
  <threadedComment ref="X22" dT="2026-01-16T19:10:06.11" personId="{3A570543-CE0C-4FE9-92C2-995D0228DD10}" id="{E605C9B4-48A0-44F5-BDC3-E64D2168A4DF}">
    <text xml:space="preserve">UDM: k€/(MW_th*y)
This is the sum of all O&amp;M costs expect replacements.
</text>
  </threadedComment>
  <threadedComment ref="Y22" dT="2025-10-12T08:13:54.40" personId="{3A570543-CE0C-4FE9-92C2-995D0228DD10}" id="{89F4F643-E5D9-4FF7-9E08-A191BA249254}">
    <text xml:space="preserve">More info on separate sheet 
(How Start up Cost was calc)
</text>
  </threadedComment>
  <threadedComment ref="Z22" dT="2025-12-07T10:29:05.17" personId="{3A570543-CE0C-4FE9-92C2-995D0228DD10}" id="{122EC01D-E2BB-48D3-9F25-EBB3A92E1643}">
    <text>UDM: k€/MWh_el
(only electricity costs, as all the other O&amp;M costs (except replacements) are considered inside O&amp;M_fix)</text>
  </threadedComment>
  <threadedComment ref="AA22" dT="2025-10-12T08:13:54.40" personId="{3A570543-CE0C-4FE9-92C2-995D0228DD10}" id="{A117913B-5A44-4B1F-B063-846077C0F390}">
    <text xml:space="preserve">More info on separate sheet
(How O&amp;M + Replacement was calc)
</text>
  </threadedComment>
  <threadedComment ref="AB22" dT="2026-01-16T19:10:06.11" personId="{3A570543-CE0C-4FE9-92C2-995D0228DD10}" id="{E5DF4AAD-57D8-433A-97B3-7749AFC4A24B}">
    <text xml:space="preserve">UDM: k€/(MW_el*y)
This is the sum of all O&amp;M costs expect replacements.
</text>
  </threadedComment>
  <threadedComment ref="AC22" dT="2025-10-12T08:13:54.40" personId="{3A570543-CE0C-4FE9-92C2-995D0228DD10}" id="{E25ED110-9E85-4711-B39C-D71378B8692F}">
    <text xml:space="preserve">More info on separate sheet 
(How Start up Cost was calc)
</text>
  </threadedComment>
  <threadedComment ref="AE22" dT="2026-01-16T17:30:42.53" personId="{3A570543-CE0C-4FE9-92C2-995D0228DD10}" id="{8811AD5A-DCC6-4A5C-AFCA-46AD3A317AE3}">
    <text>EER</text>
  </threadedComment>
  <threadedComment ref="D23" dT="2025-12-15T09:56:08.24" personId="{3A570543-CE0C-4FE9-92C2-995D0228DD10}" id="{6BD67312-82B7-4398-9BD5-284348AF3934}">
    <text xml:space="preserve">UDM: kW_el (input)
</text>
  </threadedComment>
  <threadedComment ref="P23" dT="2026-01-16T14:13:14.44" personId="{3A570543-CE0C-4FE9-92C2-995D0228DD10}" id="{C2065AB9-3B8D-4257-A6C5-CA8E7C0E44AF}">
    <text>y = CAPEX specific (€/kW_th), 
x = size (kW_th)</text>
  </threadedComment>
  <threadedComment ref="Q23" dT="2026-01-16T14:13:14.44" personId="{3A570543-CE0C-4FE9-92C2-995D0228DD10}" id="{12376DD8-E13A-4151-B0FF-D61DF21971C6}">
    <text>y = CAPEX specific (€/kW_el), 
x = size (kW_el)</text>
  </threadedComment>
  <threadedComment ref="V23" dT="2025-10-19T10:27:00.29" personId="{3A570543-CE0C-4FE9-92C2-995D0228DD10}" id="{5A085F10-5BC5-48AE-AAF9-287398665739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23" dT="2026-01-17T10:44:27.80" personId="{3A570543-CE0C-4FE9-92C2-995D0228DD10}" id="{6BBDFBE3-8AAB-4A03-82BF-CE15A1ABB0E8}">
    <text>More info on separate sheet
(How O&amp;M + Replacement was calc)</text>
  </threadedComment>
  <threadedComment ref="X23" dT="2026-01-16T19:10:06.11" personId="{3A570543-CE0C-4FE9-92C2-995D0228DD10}" id="{DBF4CDA2-FBDE-454D-B9BB-A5532BA25A4C}">
    <text xml:space="preserve">UDM: k€/(MW_th*y)
This is the sum of all O&amp;M costs expect replacements.
</text>
  </threadedComment>
  <threadedComment ref="Y23" dT="2025-10-12T08:13:54.40" personId="{3A570543-CE0C-4FE9-92C2-995D0228DD10}" id="{92BE0CBE-B8E4-4DB7-8A74-6CAB3CE8D4B2}">
    <text xml:space="preserve">More info on separate sheet 
(How Start up Cost was calc)
</text>
  </threadedComment>
  <threadedComment ref="Z23" dT="2025-12-07T10:29:05.17" personId="{3A570543-CE0C-4FE9-92C2-995D0228DD10}" id="{998A4EDD-7D50-4720-841F-F6B7D2890AE9}">
    <text>UDM: k€/MWh_el
(only electricity costs, as all the other O&amp;M costs (except replacements) are considered inside O&amp;M_fix)</text>
  </threadedComment>
  <threadedComment ref="AA23" dT="2026-01-17T10:44:27.80" personId="{3A570543-CE0C-4FE9-92C2-995D0228DD10}" id="{5EC61F91-91EB-478F-977D-90CBF5A5A28E}">
    <text>More info on separate sheet
(How O&amp;M + Replacement was calc)</text>
  </threadedComment>
  <threadedComment ref="AB23" dT="2026-01-16T19:10:06.11" personId="{3A570543-CE0C-4FE9-92C2-995D0228DD10}" id="{FDE08AB5-B92B-4AD4-9472-31998081AB95}">
    <text xml:space="preserve">UDM: k€/(MW_el*y)
This is the sum of all O&amp;M costs expect replacements.
</text>
  </threadedComment>
  <threadedComment ref="AC23" dT="2025-10-12T08:13:54.40" personId="{3A570543-CE0C-4FE9-92C2-995D0228DD10}" id="{4A6A5C4F-9D15-489E-A31F-DF851354ACB5}">
    <text xml:space="preserve">More info on separate sheet 
(How Start up Cost was calc)
</text>
  </threadedComment>
  <threadedComment ref="AE23" dT="2026-01-16T17:30:42.53" personId="{3A570543-CE0C-4FE9-92C2-995D0228DD10}" id="{307C68A2-1BE3-4877-9D25-87547034D34E}">
    <text>COP</text>
  </threadedComment>
  <threadedComment ref="D24" dT="2025-12-15T09:56:08.24" personId="{3A570543-CE0C-4FE9-92C2-995D0228DD10}" id="{6EFBFDED-DA0F-4ED4-8956-82B0F3F29BC0}">
    <text xml:space="preserve">UDM: kW_el (input)
</text>
  </threadedComment>
  <threadedComment ref="P24" dT="2026-01-16T14:13:14.44" personId="{3A570543-CE0C-4FE9-92C2-995D0228DD10}" id="{54CC0AC7-2F8F-4BBC-8AF0-9440A6DCC6AD}">
    <text>y = CAPEX specific (€/kW_th), 
x = size (kW_th)</text>
  </threadedComment>
  <threadedComment ref="Q24" dT="2026-01-16T14:13:14.44" personId="{3A570543-CE0C-4FE9-92C2-995D0228DD10}" id="{77B84449-3970-4574-9227-728490D39B06}">
    <text>y = CAPEX specific (€/kW_el), 
x = size (kW_el)</text>
  </threadedComment>
  <threadedComment ref="V24" dT="2025-10-19T10:27:00.29" personId="{3A570543-CE0C-4FE9-92C2-995D0228DD10}" id="{86E573EA-06C7-4D19-A236-67BAC92537A9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24" dT="2026-01-17T10:44:27.80" personId="{3A570543-CE0C-4FE9-92C2-995D0228DD10}" id="{8843642E-C3C1-4C58-9F8B-7BA21CE190C4}">
    <text>More info on separate sheet
(How O&amp;M + Replacement was calc)</text>
  </threadedComment>
  <threadedComment ref="X24" dT="2026-01-16T19:10:06.11" personId="{3A570543-CE0C-4FE9-92C2-995D0228DD10}" id="{2CF7E75C-DE17-44A0-B772-67B09A58CE02}">
    <text xml:space="preserve">UDM: k€/(MW_th*y)
This is the sum of all O&amp;M costs expect replacements.
</text>
  </threadedComment>
  <threadedComment ref="Y24" dT="2025-10-12T08:13:54.40" personId="{3A570543-CE0C-4FE9-92C2-995D0228DD10}" id="{FB1067A3-1356-4109-8F55-D10E67FE2ECB}">
    <text xml:space="preserve">More info on separate sheet 
(How Start up Cost was calc)
</text>
  </threadedComment>
  <threadedComment ref="Z24" dT="2025-12-07T10:29:05.17" personId="{3A570543-CE0C-4FE9-92C2-995D0228DD10}" id="{0655FB18-36C3-4C77-B288-2340D9A863D0}">
    <text>UDM: k€/MWh_el
(only electricity costs, as all the other O&amp;M costs (except replacements) are considered inside O&amp;M_fix)</text>
  </threadedComment>
  <threadedComment ref="AA24" dT="2026-01-17T10:44:27.80" personId="{3A570543-CE0C-4FE9-92C2-995D0228DD10}" id="{952DCBF2-FBCA-4CAF-9827-8C737152E516}">
    <text>More info on separate sheet
(How O&amp;M + Replacement was calc)</text>
  </threadedComment>
  <threadedComment ref="AB24" dT="2026-01-16T19:10:06.11" personId="{3A570543-CE0C-4FE9-92C2-995D0228DD10}" id="{9E493591-5666-4357-92E6-1DDA81A7F3CE}">
    <text xml:space="preserve">UDM: k€/(MW_el*y)
This is the sum of all O&amp;M costs expect replacements.
</text>
  </threadedComment>
  <threadedComment ref="AC24" dT="2025-10-12T08:13:54.40" personId="{3A570543-CE0C-4FE9-92C2-995D0228DD10}" id="{37C5BEB5-E510-45C4-BD89-39FC920460E7}">
    <text xml:space="preserve">More info on separate sheet 
(How Start up Cost was calc)
</text>
  </threadedComment>
  <threadedComment ref="AE24" dT="2026-01-16T17:30:42.53" personId="{3A570543-CE0C-4FE9-92C2-995D0228DD10}" id="{B37A87C5-0CC8-4F04-9DD4-F7B59B322E25}">
    <text>COP</text>
  </threadedComment>
  <threadedComment ref="D25" dT="2025-12-15T09:56:08.24" personId="{3A570543-CE0C-4FE9-92C2-995D0228DD10}" id="{2FDCB6E1-A891-40FD-8081-EB760EBB0011}">
    <text xml:space="preserve">UDM: kW_el (input)
</text>
  </threadedComment>
  <threadedComment ref="P25" dT="2026-01-16T14:13:14.44" personId="{3A570543-CE0C-4FE9-92C2-995D0228DD10}" id="{4C178835-BC77-4371-A027-085D79FB7E22}">
    <text>y = CAPEX specific (€/kW_th), 
x = size (kW_th)</text>
  </threadedComment>
  <threadedComment ref="Q25" dT="2026-01-16T14:13:14.44" personId="{3A570543-CE0C-4FE9-92C2-995D0228DD10}" id="{8D3BA5A1-F821-41CF-BBD3-63B88A8BCEB9}">
    <text>y = CAPEX specific (€/kW_el), 
x = size (kW_el)</text>
  </threadedComment>
  <threadedComment ref="V25" dT="2025-10-19T10:27:00.29" personId="{3A570543-CE0C-4FE9-92C2-995D0228DD10}" id="{E493CD19-6DC2-4647-8C49-B41F6D0C6C65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25" dT="2026-01-17T10:44:27.80" personId="{3A570543-CE0C-4FE9-92C2-995D0228DD10}" id="{E28A3091-B76D-4E63-BBFD-40A134E15BEF}">
    <text>More info on separate sheet
(How O&amp;M + Replacement was calc)</text>
  </threadedComment>
  <threadedComment ref="X25" dT="2026-01-16T19:10:06.11" personId="{3A570543-CE0C-4FE9-92C2-995D0228DD10}" id="{768F1188-C884-422E-9B3D-68EE4C52FACB}">
    <text xml:space="preserve">UDM: k€/(MW_th*y)
This is the sum of all O&amp;M costs expect replacements.
</text>
  </threadedComment>
  <threadedComment ref="Y25" dT="2025-10-12T08:13:54.40" personId="{3A570543-CE0C-4FE9-92C2-995D0228DD10}" id="{268177EE-28AC-4CA1-B0CB-52E09088E2C9}">
    <text xml:space="preserve">More info on separate sheet 
(How Start up Cost was calc)
</text>
  </threadedComment>
  <threadedComment ref="Z25" dT="2025-12-07T10:29:05.17" personId="{3A570543-CE0C-4FE9-92C2-995D0228DD10}" id="{F09AD262-135C-4862-A2BE-343952C1C35C}">
    <text>UDM: k€/MWh_el
(only electricity costs, as all the other O&amp;M costs (except replacements) are considered inside O&amp;M_fix)</text>
  </threadedComment>
  <threadedComment ref="AA25" dT="2026-01-17T10:44:27.80" personId="{3A570543-CE0C-4FE9-92C2-995D0228DD10}" id="{61BF6F11-2917-4BA6-9EFD-67225659DB01}">
    <text>More info on separate sheet
(How O&amp;M + Replacement was calc)</text>
  </threadedComment>
  <threadedComment ref="AB25" dT="2026-01-16T19:10:06.11" personId="{3A570543-CE0C-4FE9-92C2-995D0228DD10}" id="{F666F7B1-F738-4598-8368-460BF87DA775}">
    <text xml:space="preserve">UDM: k€/(MW_el*y)
This is the sum of all O&amp;M costs expect replacements.
</text>
  </threadedComment>
  <threadedComment ref="AC25" dT="2025-10-12T08:13:54.40" personId="{3A570543-CE0C-4FE9-92C2-995D0228DD10}" id="{E4A61942-6BC5-49DB-A071-654FB9ADED77}">
    <text xml:space="preserve">More info on separate sheet 
(How Start up Cost was calc)
</text>
  </threadedComment>
  <threadedComment ref="AE25" dT="2026-01-16T17:30:42.53" personId="{3A570543-CE0C-4FE9-92C2-995D0228DD10}" id="{24877A98-F734-4993-AAC5-93882D3F54DB}">
    <text>COP</text>
  </threadedComment>
  <threadedComment ref="D26" dT="2025-12-15T09:56:08.24" personId="{3A570543-CE0C-4FE9-92C2-995D0228DD10}" id="{DD571C13-CBF8-40A5-B09C-22266E28DA10}">
    <text xml:space="preserve">UDM: kW_el (input)
</text>
  </threadedComment>
  <threadedComment ref="P26" dT="2026-01-16T14:13:14.44" personId="{3A570543-CE0C-4FE9-92C2-995D0228DD10}" id="{CDC10075-4CA8-481A-96A5-4170DE8633D4}">
    <text>y = CAPEX specific (€/kW_th), 
x = size (kW_th)</text>
  </threadedComment>
  <threadedComment ref="Q26" dT="2026-01-16T14:13:14.44" personId="{3A570543-CE0C-4FE9-92C2-995D0228DD10}" id="{7B195DB4-8F92-46BC-B830-AF378607CE54}">
    <text>y = CAPEX specific (€/kW_el), 
x = size (kW_el)</text>
  </threadedComment>
  <threadedComment ref="V26" dT="2025-10-19T10:27:00.29" personId="{3A570543-CE0C-4FE9-92C2-995D0228DD10}" id="{93800A4E-9389-4444-8510-A7CDBD4F0B7C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26" dT="2026-01-17T10:44:27.80" personId="{3A570543-CE0C-4FE9-92C2-995D0228DD10}" id="{F178EBBE-FCEA-47F5-BDAF-A0AF5E7E89E4}">
    <text>More info on separate sheet
(How O&amp;M + Replacement was calc)</text>
  </threadedComment>
  <threadedComment ref="X26" dT="2026-01-16T19:10:06.11" personId="{3A570543-CE0C-4FE9-92C2-995D0228DD10}" id="{3963F8FA-A035-4C00-8E52-3CE2A2B07DA2}">
    <text xml:space="preserve">UDM: k€/(MW_th*y)
This is the sum of all O&amp;M costs expect replacements.
</text>
  </threadedComment>
  <threadedComment ref="Y26" dT="2025-10-12T08:13:54.40" personId="{3A570543-CE0C-4FE9-92C2-995D0228DD10}" id="{B8F28F67-B13D-4AD7-B0B5-BEA03804036A}">
    <text xml:space="preserve">More info on separate sheet 
(How Start up Cost was calc)
</text>
  </threadedComment>
  <threadedComment ref="Z26" dT="2025-12-07T10:29:05.17" personId="{3A570543-CE0C-4FE9-92C2-995D0228DD10}" id="{FA7EA888-CF43-416D-803D-3C35BC9D43AA}">
    <text>UDM: k€/MWh_el
(only electricity costs, as all the other O&amp;M costs (except replacements) are considered inside O&amp;M_fix)</text>
  </threadedComment>
  <threadedComment ref="AA26" dT="2026-01-17T10:44:27.80" personId="{3A570543-CE0C-4FE9-92C2-995D0228DD10}" id="{49E15648-7AC0-4F84-B3E9-4D07509EB511}">
    <text>More info on separate sheet
(How O&amp;M + Replacement was calc)</text>
  </threadedComment>
  <threadedComment ref="AB26" dT="2026-01-16T19:10:06.11" personId="{3A570543-CE0C-4FE9-92C2-995D0228DD10}" id="{992E7663-78D9-413E-B9B2-B775E5DF7E4C}">
    <text xml:space="preserve">UDM: k€/(MW_el*y)
This is the sum of all O&amp;M costs expect replacements.
</text>
  </threadedComment>
  <threadedComment ref="AC26" dT="2025-10-12T08:13:54.40" personId="{3A570543-CE0C-4FE9-92C2-995D0228DD10}" id="{3C967269-D0A4-4114-8676-3567DB4B6878}">
    <text xml:space="preserve">More info on separate sheet 
(How Start up Cost was calc)
</text>
  </threadedComment>
  <threadedComment ref="AE26" dT="2026-01-16T17:30:42.53" personId="{3A570543-CE0C-4FE9-92C2-995D0228DD10}" id="{A6B8DB39-3162-40A3-A819-A812C71FAE70}">
    <text>EER</text>
  </threadedComment>
  <threadedComment ref="D27" dT="2025-12-15T09:56:08.24" personId="{3A570543-CE0C-4FE9-92C2-995D0228DD10}" id="{DBCF4AB5-C007-4A9B-B175-DDC235F9AE94}">
    <text xml:space="preserve">UDM: kW_el (input)
</text>
  </threadedComment>
  <threadedComment ref="P27" dT="2026-01-16T14:13:14.44" personId="{3A570543-CE0C-4FE9-92C2-995D0228DD10}" id="{EF1E6248-773A-49AB-AB0E-C5DCC00258FA}">
    <text>y = CAPEX specific (€/kW_th), 
x = size (kW_th)</text>
  </threadedComment>
  <threadedComment ref="Q27" dT="2026-01-16T14:13:14.44" personId="{3A570543-CE0C-4FE9-92C2-995D0228DD10}" id="{2648E153-CAA1-482D-B3EB-2A14561215D3}">
    <text>y = CAPEX specific (€/kW_el), 
x = size (kW_el)</text>
  </threadedComment>
  <threadedComment ref="V27" dT="2025-10-19T10:27:00.29" personId="{3A570543-CE0C-4FE9-92C2-995D0228DD10}" id="{AD0533C5-5B1E-440A-A80C-7C81115E6C42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27" dT="2026-01-17T10:44:27.80" personId="{3A570543-CE0C-4FE9-92C2-995D0228DD10}" id="{D6E67F76-D2C6-4D5F-954E-51CEEBA62E93}">
    <text>More info on separate sheet
(How O&amp;M + Replacement was calc)</text>
  </threadedComment>
  <threadedComment ref="X27" dT="2026-01-16T19:10:06.11" personId="{3A570543-CE0C-4FE9-92C2-995D0228DD10}" id="{1117ADC2-BA10-4D30-9856-91B7BC536255}">
    <text xml:space="preserve">UDM: k€/(MW_th*y)
This is the sum of all O&amp;M costs expect replacements.
</text>
  </threadedComment>
  <threadedComment ref="Y27" dT="2025-10-12T08:13:54.40" personId="{3A570543-CE0C-4FE9-92C2-995D0228DD10}" id="{D63245D7-DB10-4F60-A514-4F5E2A05D550}">
    <text xml:space="preserve">More info on separate sheet 
(How Start up Cost was calc)
</text>
  </threadedComment>
  <threadedComment ref="Z27" dT="2025-12-07T10:29:05.17" personId="{3A570543-CE0C-4FE9-92C2-995D0228DD10}" id="{FE5B6A82-1A34-4968-BD9B-B3872B8BEA23}">
    <text>UDM: k€/MWh_el
(only electricity costs, as all the other O&amp;M costs (except replacements) are considered inside O&amp;M_fix)</text>
  </threadedComment>
  <threadedComment ref="AA27" dT="2026-01-17T10:44:27.80" personId="{3A570543-CE0C-4FE9-92C2-995D0228DD10}" id="{9C59F70E-CABD-4B8F-9BB7-C5B5B9866C4D}">
    <text>More info on separate sheet
(How O&amp;M + Replacement was calc)</text>
  </threadedComment>
  <threadedComment ref="AB27" dT="2026-01-16T19:10:06.11" personId="{3A570543-CE0C-4FE9-92C2-995D0228DD10}" id="{9D2D00A8-F59D-4271-AA05-21C552795D3D}">
    <text xml:space="preserve">UDM: k€/(MW_el*y)
This is the sum of all O&amp;M costs expect replacements.
</text>
  </threadedComment>
  <threadedComment ref="AC27" dT="2025-10-12T08:13:54.40" personId="{3A570543-CE0C-4FE9-92C2-995D0228DD10}" id="{2B0E560A-B003-4038-B922-D45560A03C1B}">
    <text xml:space="preserve">More info on separate sheet 
(How Start up Cost was calc)
</text>
  </threadedComment>
  <threadedComment ref="AE27" dT="2026-01-16T17:30:42.53" personId="{3A570543-CE0C-4FE9-92C2-995D0228DD10}" id="{B06F8E12-9E72-4B15-8537-8CACC459773E}">
    <text>EER</text>
  </threadedComment>
  <threadedComment ref="D28" dT="2025-12-15T09:56:08.24" personId="{3A570543-CE0C-4FE9-92C2-995D0228DD10}" id="{84E084B2-C782-4EC8-A6AB-4C6D63146E82}">
    <text xml:space="preserve">UDM: kW_el (input)
</text>
  </threadedComment>
  <threadedComment ref="P28" dT="2026-01-16T14:13:14.44" personId="{3A570543-CE0C-4FE9-92C2-995D0228DD10}" id="{3A3C26B7-8580-4DAE-88CD-F95E09F2E180}">
    <text>y = CAPEX specific (€/kW_th), 
x = size (kW_th)</text>
  </threadedComment>
  <threadedComment ref="Q28" dT="2026-01-16T14:13:14.44" personId="{3A570543-CE0C-4FE9-92C2-995D0228DD10}" id="{FD63D76E-30FC-40B0-B7B3-5363528AF47A}">
    <text>y = CAPEX specific (€/kW_el), 
x = size (kW_el)</text>
  </threadedComment>
  <threadedComment ref="V28" dT="2025-10-19T10:27:00.29" personId="{3A570543-CE0C-4FE9-92C2-995D0228DD10}" id="{BCD76652-A958-454A-B090-AD0F30189BA0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28" dT="2026-01-17T10:44:27.80" personId="{3A570543-CE0C-4FE9-92C2-995D0228DD10}" id="{4C93D281-ECC3-4312-B7C1-117008913CE2}">
    <text>More info on separate sheet
(How O&amp;M + Replacement was calc)</text>
  </threadedComment>
  <threadedComment ref="X28" dT="2026-01-16T19:10:06.11" personId="{3A570543-CE0C-4FE9-92C2-995D0228DD10}" id="{BCD2A739-0B45-45C5-99CB-F1BAEB98C130}">
    <text xml:space="preserve">UDM: k€/(MW_th*y)
This is the sum of all O&amp;M costs expect replacements.
</text>
  </threadedComment>
  <threadedComment ref="Y28" dT="2025-10-12T08:13:54.40" personId="{3A570543-CE0C-4FE9-92C2-995D0228DD10}" id="{D32E701D-3216-435A-9281-6F640AC7E5E0}">
    <text xml:space="preserve">More info on separate sheet 
(How Start up Cost was calc)
</text>
  </threadedComment>
  <threadedComment ref="Z28" dT="2025-12-07T10:29:05.17" personId="{3A570543-CE0C-4FE9-92C2-995D0228DD10}" id="{B4C07288-CAAF-4B41-BAE5-58096585557C}">
    <text>UDM: k€/MWh_el
(only electricity costs, as all the other O&amp;M costs (except replacements) are considered inside O&amp;M_fix)</text>
  </threadedComment>
  <threadedComment ref="AA28" dT="2026-01-17T10:44:27.80" personId="{3A570543-CE0C-4FE9-92C2-995D0228DD10}" id="{2F5F64B5-F445-4F2B-86E5-2C4D8A898AE6}">
    <text>More info on separate sheet
(How O&amp;M + Replacement was calc)</text>
  </threadedComment>
  <threadedComment ref="AB28" dT="2026-01-16T19:10:06.11" personId="{3A570543-CE0C-4FE9-92C2-995D0228DD10}" id="{3F85EDF8-603D-4570-97E9-212EFBA5BC6E}">
    <text xml:space="preserve">UDM: k€/(MW_el*y)
This is the sum of all O&amp;M costs expect replacements.
</text>
  </threadedComment>
  <threadedComment ref="AC28" dT="2025-10-12T08:13:54.40" personId="{3A570543-CE0C-4FE9-92C2-995D0228DD10}" id="{B010A7EE-68F8-44F6-93D8-9D6584A1D858}">
    <text xml:space="preserve">More info on separate sheet 
(How Start up Cost was calc)
</text>
  </threadedComment>
  <threadedComment ref="AE28" dT="2026-01-16T17:30:42.53" personId="{3A570543-CE0C-4FE9-92C2-995D0228DD10}" id="{356D26DE-B074-4CAA-8F6B-090F361E783D}">
    <text>EER</text>
  </threadedComment>
  <threadedComment ref="D29" dT="2025-12-15T09:56:08.24" personId="{3A570543-CE0C-4FE9-92C2-995D0228DD10}" id="{DBF9E67D-B45D-4011-8C79-91B19BC02067}">
    <text xml:space="preserve">UDM: kW_el (input)
</text>
  </threadedComment>
  <threadedComment ref="P29" dT="2026-01-16T14:13:14.44" personId="{3A570543-CE0C-4FE9-92C2-995D0228DD10}" id="{79C114BD-2F22-4A17-A6F8-9C82FFCBF1C4}">
    <text>y = CAPEX specific (€/kW_th), 
x = size (kW_th)</text>
  </threadedComment>
  <threadedComment ref="Q29" dT="2026-01-16T14:13:14.44" personId="{3A570543-CE0C-4FE9-92C2-995D0228DD10}" id="{5148E199-A593-4A00-BFDB-E9078370483C}">
    <text>y = CAPEX specific (€/kW_el), 
x = size (kW_el)</text>
  </threadedComment>
  <threadedComment ref="V29" dT="2025-10-19T10:27:00.29" personId="{3A570543-CE0C-4FE9-92C2-995D0228DD10}" id="{5CDA4EA1-2775-4D8D-A186-60DFA0688F1F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29" dT="2026-01-17T10:44:27.80" personId="{3A570543-CE0C-4FE9-92C2-995D0228DD10}" id="{A340E718-9F50-43A8-A9E7-68C68775926C}">
    <text>More info on separate sheet
(How O&amp;M + Replacement was calc)</text>
  </threadedComment>
  <threadedComment ref="X29" dT="2026-01-16T19:10:06.11" personId="{3A570543-CE0C-4FE9-92C2-995D0228DD10}" id="{2A4A463F-B86E-4D90-9B2B-109309243408}">
    <text xml:space="preserve">UDM: k€/(MW_th*y)
This is the sum of all O&amp;M costs expect replacements.
</text>
  </threadedComment>
  <threadedComment ref="Y29" dT="2025-10-12T08:13:54.40" personId="{3A570543-CE0C-4FE9-92C2-995D0228DD10}" id="{4083CAA8-F61A-48EB-B0F7-9C0D8E55125E}">
    <text xml:space="preserve">More info on separate sheet 
(How Start up Cost was calc)
</text>
  </threadedComment>
  <threadedComment ref="Z29" dT="2025-12-07T10:29:05.17" personId="{3A570543-CE0C-4FE9-92C2-995D0228DD10}" id="{C0653F80-B706-4773-BCD2-3CA3FE55860D}">
    <text>UDM: k€/MWh_el
(only electricity costs, as all the other O&amp;M costs (except replacements) are considered inside O&amp;M_fix)</text>
  </threadedComment>
  <threadedComment ref="AA29" dT="2026-01-17T10:44:27.80" personId="{3A570543-CE0C-4FE9-92C2-995D0228DD10}" id="{37EEF413-CAB4-47E0-A6F3-DB939B13C85A}">
    <text>More info on separate sheet
(How O&amp;M + Replacement was calc)</text>
  </threadedComment>
  <threadedComment ref="AB29" dT="2026-01-16T19:10:06.11" personId="{3A570543-CE0C-4FE9-92C2-995D0228DD10}" id="{A3CDA6B5-A508-4DDB-B917-201CA8307694}">
    <text xml:space="preserve">UDM: k€/(MW_el*y)
This is the sum of all O&amp;M costs expect replacements.
</text>
  </threadedComment>
  <threadedComment ref="AC29" dT="2025-10-12T08:13:54.40" personId="{3A570543-CE0C-4FE9-92C2-995D0228DD10}" id="{4DE02923-C7AC-422C-90E6-DAE44F1E4C79}">
    <text xml:space="preserve">More info on separate sheet 
(How Start up Cost was calc)
</text>
  </threadedComment>
  <threadedComment ref="AE29" dT="2026-01-16T17:30:42.53" personId="{3A570543-CE0C-4FE9-92C2-995D0228DD10}" id="{1C5418C7-C48E-46A4-85DD-FD686AE24F47}">
    <text>COP</text>
  </threadedComment>
  <threadedComment ref="D30" dT="2025-12-15T09:56:08.24" personId="{3A570543-CE0C-4FE9-92C2-995D0228DD10}" id="{341B615D-F149-4D1F-A2B1-DBEB16AB03DC}">
    <text xml:space="preserve">UDM: kW_el (input)
</text>
  </threadedComment>
  <threadedComment ref="P30" dT="2026-01-16T14:13:14.44" personId="{3A570543-CE0C-4FE9-92C2-995D0228DD10}" id="{7089BB30-1CAC-403C-8E17-B2497E631FCF}">
    <text>y = CAPEX specific (€/kW_th), 
x = size (kW_th)</text>
  </threadedComment>
  <threadedComment ref="Q30" dT="2026-01-16T14:13:14.44" personId="{3A570543-CE0C-4FE9-92C2-995D0228DD10}" id="{56DCCDF3-869D-44CC-B761-ED4698738C6E}">
    <text>y = CAPEX specific (€/kW_el), 
x = size (kW_el)</text>
  </threadedComment>
  <threadedComment ref="V30" dT="2025-10-19T10:27:00.29" personId="{3A570543-CE0C-4FE9-92C2-995D0228DD10}" id="{106D4C9A-A977-4A33-87CA-FB0E46163B5B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30" dT="2026-01-17T10:44:27.80" personId="{3A570543-CE0C-4FE9-92C2-995D0228DD10}" id="{60BAAEF7-5874-4874-8196-F29FA2A6EAF1}">
    <text>More info on separate sheet
(How O&amp;M + Replacement was calc)</text>
  </threadedComment>
  <threadedComment ref="X30" dT="2026-01-16T19:10:06.11" personId="{3A570543-CE0C-4FE9-92C2-995D0228DD10}" id="{484FC205-A8AE-4587-A4EA-7E47E698286E}">
    <text xml:space="preserve">UDM: k€/(MW_th*y)
This is the sum of all O&amp;M costs expect replacements.
</text>
  </threadedComment>
  <threadedComment ref="Y30" dT="2025-10-12T08:13:54.40" personId="{3A570543-CE0C-4FE9-92C2-995D0228DD10}" id="{48B50CCD-D84E-484A-A699-E4AC41E7A5FF}">
    <text xml:space="preserve">More info on separate sheet 
(How Start up Cost was calc)
</text>
  </threadedComment>
  <threadedComment ref="Z30" dT="2025-12-07T10:29:05.17" personId="{3A570543-CE0C-4FE9-92C2-995D0228DD10}" id="{11A14172-A6F2-4D8F-92D6-0218F9ED9B27}">
    <text>UDM: k€/MWh_el
(only electricity costs, as all the other O&amp;M costs (except replacements) are considered inside O&amp;M_fix)</text>
  </threadedComment>
  <threadedComment ref="AA30" dT="2026-01-17T10:44:27.80" personId="{3A570543-CE0C-4FE9-92C2-995D0228DD10}" id="{512BEA6F-C883-4440-A356-89F3ED98E42A}">
    <text>More info on separate sheet
(How O&amp;M + Replacement was calc)</text>
  </threadedComment>
  <threadedComment ref="AB30" dT="2026-01-16T19:10:06.11" personId="{3A570543-CE0C-4FE9-92C2-995D0228DD10}" id="{B9A67B7B-51F7-41CE-AEAA-D6F188CF5720}">
    <text xml:space="preserve">UDM: k€/(MW_el*y)
This is the sum of all O&amp;M costs expect replacements.
</text>
  </threadedComment>
  <threadedComment ref="AC30" dT="2025-10-12T08:13:54.40" personId="{3A570543-CE0C-4FE9-92C2-995D0228DD10}" id="{528911A0-3ADF-47AB-91F5-7A3E2DA8E306}">
    <text xml:space="preserve">More info on separate sheet 
(How Start up Cost was calc)
</text>
  </threadedComment>
  <threadedComment ref="AE30" dT="2026-01-16T17:30:42.53" personId="{3A570543-CE0C-4FE9-92C2-995D0228DD10}" id="{A78A397E-ACAA-4A98-BC32-0FDD38999FFB}">
    <text>COP</text>
  </threadedComment>
  <threadedComment ref="D31" dT="2025-12-15T09:56:08.24" personId="{3A570543-CE0C-4FE9-92C2-995D0228DD10}" id="{05D6663D-2DFE-4893-9E16-7CD059A8AAB7}">
    <text xml:space="preserve">UDM: kW_el (input)
</text>
  </threadedComment>
  <threadedComment ref="P31" dT="2026-01-16T14:13:14.44" personId="{3A570543-CE0C-4FE9-92C2-995D0228DD10}" id="{741C4121-369C-4C62-A785-8DD8D0C48BBA}">
    <text>y = CAPEX specific (€/kW_th), 
x = size (kW_th)</text>
  </threadedComment>
  <threadedComment ref="Q31" dT="2026-01-16T14:13:14.44" personId="{3A570543-CE0C-4FE9-92C2-995D0228DD10}" id="{BCE9F6B5-F1E5-4201-9E40-81B75E00CD86}">
    <text>y = CAPEX specific (€/kW_el), 
x = size (kW_el)</text>
  </threadedComment>
  <threadedComment ref="V31" dT="2025-10-19T10:27:00.29" personId="{3A570543-CE0C-4FE9-92C2-995D0228DD10}" id="{DDB2EAA5-1AD5-4D25-8DC8-1A59EC97060A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31" dT="2026-01-17T10:44:27.80" personId="{3A570543-CE0C-4FE9-92C2-995D0228DD10}" id="{BCD4FBB4-B35A-4FCF-90F1-EB62DAB49082}">
    <text>More info on separate sheet
(How O&amp;M + Replacement was calc)</text>
  </threadedComment>
  <threadedComment ref="X31" dT="2026-01-16T19:10:06.11" personId="{3A570543-CE0C-4FE9-92C2-995D0228DD10}" id="{98383AC1-7635-4F2A-9327-2B714420ACEB}">
    <text xml:space="preserve">UDM: k€/(MW_th*y)
This is the sum of all O&amp;M costs expect replacements.
</text>
  </threadedComment>
  <threadedComment ref="Y31" dT="2025-10-12T08:13:54.40" personId="{3A570543-CE0C-4FE9-92C2-995D0228DD10}" id="{8A24F276-97B8-461A-B81D-6847D39A448E}">
    <text xml:space="preserve">More info on separate sheet 
(How Start up Cost was calc)
</text>
  </threadedComment>
  <threadedComment ref="Z31" dT="2025-12-07T10:29:05.17" personId="{3A570543-CE0C-4FE9-92C2-995D0228DD10}" id="{37831F7C-A943-4E5E-9D63-9F8398E9AA01}">
    <text>UDM: k€/MWh_el
(only electricity costs, as all the other O&amp;M costs (except replacements) are considered inside O&amp;M_fix)</text>
  </threadedComment>
  <threadedComment ref="AA31" dT="2026-01-17T10:44:27.80" personId="{3A570543-CE0C-4FE9-92C2-995D0228DD10}" id="{F8F5B5D3-763C-4B88-B34A-1F0587336CA8}">
    <text>More info on separate sheet
(How O&amp;M + Replacement was calc)</text>
  </threadedComment>
  <threadedComment ref="AB31" dT="2026-01-16T19:10:06.11" personId="{3A570543-CE0C-4FE9-92C2-995D0228DD10}" id="{1D3F2281-26C1-4F4C-875C-2DBE06043DFF}">
    <text xml:space="preserve">UDM: k€/(MW_el*y)
This is the sum of all O&amp;M costs expect replacements.
</text>
  </threadedComment>
  <threadedComment ref="AC31" dT="2025-10-12T08:13:54.40" personId="{3A570543-CE0C-4FE9-92C2-995D0228DD10}" id="{2B5144A7-BD91-40B2-932C-6581F2F2D71F}">
    <text xml:space="preserve">More info on separate sheet 
(How Start up Cost was calc)
</text>
  </threadedComment>
  <threadedComment ref="AE31" dT="2026-01-16T17:30:42.53" personId="{3A570543-CE0C-4FE9-92C2-995D0228DD10}" id="{1DF9183C-5271-49FA-B21B-25F6A1F7168D}">
    <text>COP</text>
  </threadedComment>
  <threadedComment ref="D32" dT="2025-12-15T09:56:08.24" personId="{3A570543-CE0C-4FE9-92C2-995D0228DD10}" id="{6348A1B9-CFC9-4F84-B080-DB0A056A93D3}">
    <text xml:space="preserve">UDM: kW_el (input)
</text>
  </threadedComment>
  <threadedComment ref="P32" dT="2026-01-16T14:13:14.44" personId="{3A570543-CE0C-4FE9-92C2-995D0228DD10}" id="{696D8768-16AC-4270-B570-CBF31BA4A913}">
    <text>y = CAPEX specific (€/kW_th), 
x = size (kW_th)</text>
  </threadedComment>
  <threadedComment ref="Q32" dT="2026-01-16T14:13:14.44" personId="{3A570543-CE0C-4FE9-92C2-995D0228DD10}" id="{DAD7592C-A99F-4FAF-AD97-5535E09AB56A}">
    <text>y = CAPEX specific (€/kW_el), 
x = size (kW_el)</text>
  </threadedComment>
  <threadedComment ref="V32" dT="2025-10-19T10:27:00.29" personId="{3A570543-CE0C-4FE9-92C2-995D0228DD10}" id="{76DF2A11-FCC4-4F5D-AD77-D4142E922DF2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32" dT="2026-01-17T10:44:27.80" personId="{3A570543-CE0C-4FE9-92C2-995D0228DD10}" id="{1CD71EF6-8BE8-4E1F-9DCE-2E18A6AA3C18}">
    <text>More info on separate sheet
(How O&amp;M + Replacement was calc)</text>
  </threadedComment>
  <threadedComment ref="X32" dT="2026-01-16T19:10:06.11" personId="{3A570543-CE0C-4FE9-92C2-995D0228DD10}" id="{E9446100-2E55-472D-975A-75217632D1FE}">
    <text xml:space="preserve">UDM: k€/(MW_th*y)
This is the sum of all O&amp;M costs expect replacements.
</text>
  </threadedComment>
  <threadedComment ref="Y32" dT="2025-10-12T08:13:54.40" personId="{3A570543-CE0C-4FE9-92C2-995D0228DD10}" id="{11EFD222-5BAA-4DD7-AE76-044F0AEF89C9}">
    <text xml:space="preserve">More info on separate sheet 
(How Start up Cost was calc)
</text>
  </threadedComment>
  <threadedComment ref="Z32" dT="2025-12-07T10:29:05.17" personId="{3A570543-CE0C-4FE9-92C2-995D0228DD10}" id="{1D190BD2-928A-49F9-AE28-7A2F7D79E62C}">
    <text>UDM: k€/MWh_el
(only electricity costs, as all the other O&amp;M costs (except replacements) are considered inside O&amp;M_fix)</text>
  </threadedComment>
  <threadedComment ref="AA32" dT="2026-01-17T10:44:27.80" personId="{3A570543-CE0C-4FE9-92C2-995D0228DD10}" id="{D72DB6AD-9E81-43C7-AD2D-A186479942CB}">
    <text>More info on separate sheet
(How O&amp;M + Replacement was calc)</text>
  </threadedComment>
  <threadedComment ref="AB32" dT="2026-01-16T19:10:06.11" personId="{3A570543-CE0C-4FE9-92C2-995D0228DD10}" id="{3889451D-DE29-4076-B742-7E080EE1C317}">
    <text xml:space="preserve">UDM: k€/(MW_el*y)
This is the sum of all O&amp;M costs expect replacements.
</text>
  </threadedComment>
  <threadedComment ref="AC32" dT="2025-10-12T08:13:54.40" personId="{3A570543-CE0C-4FE9-92C2-995D0228DD10}" id="{3E34CA14-E370-497E-860A-3B66794155FF}">
    <text xml:space="preserve">More info on separate sheet 
(How Start up Cost was calc)
</text>
  </threadedComment>
  <threadedComment ref="AE32" dT="2026-01-16T17:30:42.53" personId="{3A570543-CE0C-4FE9-92C2-995D0228DD10}" id="{3296F67B-165D-4D3F-8F0D-11BB26A88EB3}">
    <text>EER</text>
  </threadedComment>
  <threadedComment ref="D33" dT="2025-12-15T09:56:08.24" personId="{3A570543-CE0C-4FE9-92C2-995D0228DD10}" id="{00C3485B-CE51-413F-8844-225216FDA8A2}">
    <text xml:space="preserve">UDM: kW_el (input)
</text>
  </threadedComment>
  <threadedComment ref="P33" dT="2026-01-16T14:13:14.44" personId="{3A570543-CE0C-4FE9-92C2-995D0228DD10}" id="{DECA4BBC-489A-4144-91B1-62265A79CD42}">
    <text>y = CAPEX specific (€/kW_th), 
x = size (kW_th)</text>
  </threadedComment>
  <threadedComment ref="Q33" dT="2026-01-16T14:13:14.44" personId="{3A570543-CE0C-4FE9-92C2-995D0228DD10}" id="{4478AB12-EE68-46B3-A6B9-C97593E08422}">
    <text>y = CAPEX specific (€/kW_el), 
x = size (kW_el)</text>
  </threadedComment>
  <threadedComment ref="V33" dT="2025-10-19T10:27:00.29" personId="{3A570543-CE0C-4FE9-92C2-995D0228DD10}" id="{4B0D1D62-C4A1-4A96-B086-1C35A3E9C44E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33" dT="2026-01-17T10:44:27.80" personId="{3A570543-CE0C-4FE9-92C2-995D0228DD10}" id="{10E4617D-0FA1-4019-AA5B-2D16B1EAB086}">
    <text>More info on separate sheet
(How O&amp;M + Replacement was calc)</text>
  </threadedComment>
  <threadedComment ref="X33" dT="2026-01-16T19:10:06.11" personId="{3A570543-CE0C-4FE9-92C2-995D0228DD10}" id="{B822323C-A93D-45F9-9770-6D001AAE8679}">
    <text xml:space="preserve">UDM: k€/(MW_th*y)
This is the sum of all O&amp;M costs expect replacements.
</text>
  </threadedComment>
  <threadedComment ref="Y33" dT="2025-10-12T08:13:54.40" personId="{3A570543-CE0C-4FE9-92C2-995D0228DD10}" id="{7E0DF3C3-0D45-4931-A4A9-063C745AF2F9}">
    <text xml:space="preserve">More info on separate sheet 
(How Start up Cost was calc)
</text>
  </threadedComment>
  <threadedComment ref="Z33" dT="2025-12-07T10:29:05.17" personId="{3A570543-CE0C-4FE9-92C2-995D0228DD10}" id="{E78120BB-AC92-4E51-9C92-0C4A42A408B2}">
    <text>UDM: k€/MWh_el
(only electricity costs, as all the other O&amp;M costs (except replacements) are considered inside O&amp;M_fix)</text>
  </threadedComment>
  <threadedComment ref="AA33" dT="2026-01-17T10:44:27.80" personId="{3A570543-CE0C-4FE9-92C2-995D0228DD10}" id="{006C8676-986A-4083-9428-930E43830D39}">
    <text>More info on separate sheet
(How O&amp;M + Replacement was calc)</text>
  </threadedComment>
  <threadedComment ref="AB33" dT="2026-01-16T19:10:06.11" personId="{3A570543-CE0C-4FE9-92C2-995D0228DD10}" id="{32937339-5004-44C5-9023-A208B48CCEB6}">
    <text xml:space="preserve">UDM: k€/(MW_el*y)
This is the sum of all O&amp;M costs expect replacements.
</text>
  </threadedComment>
  <threadedComment ref="AC33" dT="2025-10-12T08:13:54.40" personId="{3A570543-CE0C-4FE9-92C2-995D0228DD10}" id="{D0EC378D-549B-4135-8815-6B7E72141D34}">
    <text xml:space="preserve">More info on separate sheet 
(How Start up Cost was calc)
</text>
  </threadedComment>
  <threadedComment ref="AE33" dT="2026-01-16T17:30:42.53" personId="{3A570543-CE0C-4FE9-92C2-995D0228DD10}" id="{D1B88554-87A2-4326-9EFB-F901161C0B0F}">
    <text>EER</text>
  </threadedComment>
  <threadedComment ref="D34" dT="2025-12-15T09:56:08.24" personId="{3A570543-CE0C-4FE9-92C2-995D0228DD10}" id="{D1B92211-AF58-492D-91DF-AFC2E8F63EC3}">
    <text xml:space="preserve">UDM: kW_el (input)
</text>
  </threadedComment>
  <threadedComment ref="P34" dT="2026-01-16T14:13:14.44" personId="{3A570543-CE0C-4FE9-92C2-995D0228DD10}" id="{26044522-6ADD-447A-801F-F85F492B1AAE}">
    <text>y = CAPEX specific (€/kW_th), 
x = size (kW_th)</text>
  </threadedComment>
  <threadedComment ref="Q34" dT="2026-01-16T14:13:14.44" personId="{3A570543-CE0C-4FE9-92C2-995D0228DD10}" id="{E968B8E1-94ED-46B6-802C-4B151A6E91B0}">
    <text>y = CAPEX specific (€/kW_el), 
x = size (kW_el)</text>
  </threadedComment>
  <threadedComment ref="V34" dT="2025-10-19T10:27:00.29" personId="{3A570543-CE0C-4FE9-92C2-995D0228DD10}" id="{50BF951B-FC14-46CC-8EE4-5C97B0F19495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34" dT="2026-01-17T10:44:27.80" personId="{3A570543-CE0C-4FE9-92C2-995D0228DD10}" id="{90583875-6D81-4887-8B83-650065CE61DD}">
    <text>More info on separate sheet
(How O&amp;M + Replacement was calc)</text>
  </threadedComment>
  <threadedComment ref="X34" dT="2026-01-16T19:10:06.11" personId="{3A570543-CE0C-4FE9-92C2-995D0228DD10}" id="{10E419AA-41D7-44F0-9480-78420AF76859}">
    <text xml:space="preserve">UDM: k€/(MW_th*y)
This is the sum of all O&amp;M costs expect replacements.
</text>
  </threadedComment>
  <threadedComment ref="Y34" dT="2025-10-12T08:13:54.40" personId="{3A570543-CE0C-4FE9-92C2-995D0228DD10}" id="{901E2605-FC13-4BF3-A3F2-C005A838F29A}">
    <text xml:space="preserve">More info on separate sheet 
(How Start up Cost was calc)
</text>
  </threadedComment>
  <threadedComment ref="Z34" dT="2025-12-07T10:29:05.17" personId="{3A570543-CE0C-4FE9-92C2-995D0228DD10}" id="{0626704A-6E07-4ED1-AB70-3A1DA9A2136C}">
    <text>UDM: k€/MWh_el
(only electricity costs, as all the other O&amp;M costs (except replacements) are considered inside O&amp;M_fix)</text>
  </threadedComment>
  <threadedComment ref="AA34" dT="2026-01-17T10:44:27.80" personId="{3A570543-CE0C-4FE9-92C2-995D0228DD10}" id="{E4055987-2CBC-4B64-B92B-6AC1A9E46806}">
    <text>More info on separate sheet
(How O&amp;M + Replacement was calc)</text>
  </threadedComment>
  <threadedComment ref="AB34" dT="2026-01-16T19:10:06.11" personId="{3A570543-CE0C-4FE9-92C2-995D0228DD10}" id="{6F6F22B1-AA50-4DCD-BC9E-60D8C7D099E6}">
    <text xml:space="preserve">UDM: k€/(MW_el*y)
This is the sum of all O&amp;M costs expect replacements.
</text>
  </threadedComment>
  <threadedComment ref="AC34" dT="2025-10-12T08:13:54.40" personId="{3A570543-CE0C-4FE9-92C2-995D0228DD10}" id="{AC0AB84E-5B75-48AF-BA8B-3D2744AB994E}">
    <text xml:space="preserve">More info on separate sheet 
(How Start up Cost was calc)
</text>
  </threadedComment>
  <threadedComment ref="AE34" dT="2026-01-16T17:30:42.53" personId="{3A570543-CE0C-4FE9-92C2-995D0228DD10}" id="{D6D9AD5F-68BF-4750-9D04-C696BE61422F}">
    <text>EER</text>
  </threadedComment>
  <threadedComment ref="D35" dT="2025-12-15T09:56:08.24" personId="{3A570543-CE0C-4FE9-92C2-995D0228DD10}" id="{3851708C-DD85-4041-8D85-B5C9D07B39F8}">
    <text xml:space="preserve">UDM: kW_el (input)
</text>
  </threadedComment>
  <threadedComment ref="P35" dT="2026-01-16T14:13:14.44" personId="{3A570543-CE0C-4FE9-92C2-995D0228DD10}" id="{8526F01F-6CD7-4E96-8E44-746CBD718399}">
    <text>y = CAPEX specific (€/kW_th), 
x = size (kW_th)</text>
  </threadedComment>
  <threadedComment ref="Q35" dT="2026-01-16T14:13:14.44" personId="{3A570543-CE0C-4FE9-92C2-995D0228DD10}" id="{8C3E5C89-5C59-4176-AC01-14D4F0AA4B6D}">
    <text>y = CAPEX specific (€/kW_el), 
x = size (kW_el)</text>
  </threadedComment>
  <threadedComment ref="V35" dT="2025-10-19T10:27:00.29" personId="{3A570543-CE0C-4FE9-92C2-995D0228DD10}" id="{BC7C60C9-BB39-486F-B67E-47405C4F73EC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35" dT="2026-01-17T10:44:27.80" personId="{3A570543-CE0C-4FE9-92C2-995D0228DD10}" id="{4CCA1DB8-C64D-4BCB-96E8-921F2A5FECD7}">
    <text>More info on separate sheet
(How O&amp;M + Replacement was calc)</text>
  </threadedComment>
  <threadedComment ref="X35" dT="2026-01-16T19:10:06.11" personId="{3A570543-CE0C-4FE9-92C2-995D0228DD10}" id="{6C8A904E-178B-4F71-9172-0A0895BFDEF9}">
    <text xml:space="preserve">UDM: k€/(MW_th*y)
This is the sum of all O&amp;M costs expect replacements.
</text>
  </threadedComment>
  <threadedComment ref="Y35" dT="2025-10-12T08:13:54.40" personId="{3A570543-CE0C-4FE9-92C2-995D0228DD10}" id="{9AE77164-FD60-436B-AEBD-966EC57E16A6}">
    <text xml:space="preserve">More info on separate sheet 
(How Start up Cost was calc)
</text>
  </threadedComment>
  <threadedComment ref="Z35" dT="2025-12-07T10:29:05.17" personId="{3A570543-CE0C-4FE9-92C2-995D0228DD10}" id="{977372C4-E37E-4CEF-AB64-0BC6434DF18D}">
    <text>UDM: k€/MWh_el
(only electricity costs, as all the other O&amp;M costs (except replacements) are considered inside O&amp;M_fix)</text>
  </threadedComment>
  <threadedComment ref="AA35" dT="2026-01-17T10:44:27.80" personId="{3A570543-CE0C-4FE9-92C2-995D0228DD10}" id="{CDE64B9A-FDE4-412A-B54E-D252D90E3CA8}">
    <text>More info on separate sheet
(How O&amp;M + Replacement was calc)</text>
  </threadedComment>
  <threadedComment ref="AB35" dT="2026-01-16T19:10:06.11" personId="{3A570543-CE0C-4FE9-92C2-995D0228DD10}" id="{6DBB72FB-A366-4F35-8F2F-4C4247985663}">
    <text xml:space="preserve">UDM: k€/(MW_el*y)
This is the sum of all O&amp;M costs expect replacements.
</text>
  </threadedComment>
  <threadedComment ref="AC35" dT="2025-10-12T08:13:54.40" personId="{3A570543-CE0C-4FE9-92C2-995D0228DD10}" id="{675E91DA-E32D-43AC-86E6-DF5BA31BF06C}">
    <text xml:space="preserve">More info on separate sheet 
(How Start up Cost was calc)
</text>
  </threadedComment>
  <threadedComment ref="AE35" dT="2026-01-16T17:30:42.53" personId="{3A570543-CE0C-4FE9-92C2-995D0228DD10}" id="{0C16C97C-FD03-4D5D-8FAB-AE2B597A7430}">
    <text>COP</text>
  </threadedComment>
  <threadedComment ref="C36" dT="2026-01-18T09:32:38.31" personId="{3A570543-CE0C-4FE9-92C2-995D0228DD10}" id="{CB71D5E5-6164-48AD-992A-DB5C4D0515F7}">
    <text>Theoretical, as collectors are horizontal (and vertical collectors are Borehole probes), and land size required would be a problem.</text>
  </threadedComment>
  <threadedComment ref="D36" dT="2025-12-15T09:56:08.24" personId="{3A570543-CE0C-4FE9-92C2-995D0228DD10}" id="{52B0BF2F-C9F1-45B2-94FC-BCDA88D4D35F}">
    <text xml:space="preserve">UDM: kW_el (input)
</text>
  </threadedComment>
  <threadedComment ref="P36" dT="2026-01-16T14:13:14.44" personId="{3A570543-CE0C-4FE9-92C2-995D0228DD10}" id="{EC8AB213-D586-42B2-BF68-22A2C9037DC7}">
    <text>y = CAPEX specific (€/kW_th), 
x = size (kW_th)</text>
  </threadedComment>
  <threadedComment ref="Q36" dT="2026-01-16T14:13:14.44" personId="{3A570543-CE0C-4FE9-92C2-995D0228DD10}" id="{61B1EB85-10EC-484B-894A-9477BF1E2177}">
    <text>y = CAPEX specific (€/kW_el), 
x = size (kW_el)</text>
  </threadedComment>
  <threadedComment ref="V36" dT="2025-10-19T10:27:00.29" personId="{3A570543-CE0C-4FE9-92C2-995D0228DD10}" id="{EAA6C044-A78D-4DFC-B5AD-2A37AFB008CF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36" dT="2026-01-17T10:44:27.80" personId="{3A570543-CE0C-4FE9-92C2-995D0228DD10}" id="{9802CE2C-CCCC-479D-8B18-78C73AB03F4B}">
    <text>More info on separate sheet
(How O&amp;M + Replacement was calc)</text>
  </threadedComment>
  <threadedComment ref="X36" dT="2026-01-16T19:10:06.11" personId="{3A570543-CE0C-4FE9-92C2-995D0228DD10}" id="{B49CEE0C-CBF6-451A-B12B-57B3FC20C78C}">
    <text xml:space="preserve">UDM: k€/(MW_th*y)
This is the sum of all O&amp;M costs expect replacements.
</text>
  </threadedComment>
  <threadedComment ref="Y36" dT="2025-10-12T08:13:54.40" personId="{3A570543-CE0C-4FE9-92C2-995D0228DD10}" id="{CFA5321C-479C-4C7A-8377-66C0FE9EE309}">
    <text xml:space="preserve">More info on separate sheet 
(How Start up Cost was calc)
</text>
  </threadedComment>
  <threadedComment ref="Z36" dT="2025-12-07T10:29:05.17" personId="{3A570543-CE0C-4FE9-92C2-995D0228DD10}" id="{0FDACDF0-E581-4092-B52F-19C6B284C14F}">
    <text>UDM: k€/MWh_el
(only electricity costs, as all the other O&amp;M costs (except replacements) are considered inside O&amp;M_fix)</text>
  </threadedComment>
  <threadedComment ref="AA36" dT="2026-01-17T10:44:27.80" personId="{3A570543-CE0C-4FE9-92C2-995D0228DD10}" id="{78883199-31BA-4DC6-8953-2132FC95828A}">
    <text>More info on separate sheet
(How O&amp;M + Replacement was calc)</text>
  </threadedComment>
  <threadedComment ref="AB36" dT="2026-01-16T19:10:06.11" personId="{3A570543-CE0C-4FE9-92C2-995D0228DD10}" id="{C5E99EA2-0F86-456B-A657-903BFB5AE78C}">
    <text xml:space="preserve">UDM: k€/(MW_el*y)
This is the sum of all O&amp;M costs expect replacements.
</text>
  </threadedComment>
  <threadedComment ref="AC36" dT="2025-10-12T08:13:54.40" personId="{3A570543-CE0C-4FE9-92C2-995D0228DD10}" id="{DA6D3F18-12D1-4D86-B598-3A5E8A30DD66}">
    <text xml:space="preserve">More info on separate sheet 
(How Start up Cost was calc)
</text>
  </threadedComment>
  <threadedComment ref="AE36" dT="2026-01-16T17:30:42.53" personId="{3A570543-CE0C-4FE9-92C2-995D0228DD10}" id="{09A63DF4-A17A-4DC0-9C9A-168CAB3FCA95}">
    <text>COP</text>
  </threadedComment>
  <threadedComment ref="C37" dT="2026-01-18T09:32:38.31" personId="{3A570543-CE0C-4FE9-92C2-995D0228DD10}" id="{AC538D73-60AA-4B1B-AFC5-9D316F994B4A}">
    <text>Theoretical, as collectors are horizontal (and vertical collectors are Borehole probes), and land size required would be a problem.</text>
  </threadedComment>
  <threadedComment ref="D37" dT="2025-12-15T09:56:08.24" personId="{3A570543-CE0C-4FE9-92C2-995D0228DD10}" id="{00CDE370-363F-4F47-AE25-E7D282B73DDF}">
    <text xml:space="preserve">UDM: kW_el (input)
</text>
  </threadedComment>
  <threadedComment ref="P37" dT="2026-01-16T14:13:14.44" personId="{3A570543-CE0C-4FE9-92C2-995D0228DD10}" id="{1B1ACCEF-ADF1-4922-89A8-F300291CFDE9}">
    <text>y = CAPEX specific (€/kW_th), 
x = size (kW_th)</text>
  </threadedComment>
  <threadedComment ref="Q37" dT="2026-01-16T14:13:14.44" personId="{3A570543-CE0C-4FE9-92C2-995D0228DD10}" id="{6E579191-FB1F-4527-9D8B-F5A7271460F6}">
    <text>y = CAPEX specific (€/kW_el), 
x = size (kW_el)</text>
  </threadedComment>
  <threadedComment ref="V37" dT="2025-10-19T10:27:00.29" personId="{3A570543-CE0C-4FE9-92C2-995D0228DD10}" id="{8A797267-806B-43E8-B317-24DE116E42E3}">
    <text>UDM: k€/MWh_el
(only electricity costs, as all the other O&amp;M costs (except replacements) are considered inside O&amp;M_fix)
COP taken = 4.3
Residential Electricity cost = 0.2872 €/kWh (from [122])
Industril Electricity cost = 0.1899€/kWh (from [122])
0.04416 (industrial - energetici)
0.06679 (reisdential - energetici)</text>
  </threadedComment>
  <threadedComment ref="W37" dT="2026-01-17T10:44:27.80" personId="{3A570543-CE0C-4FE9-92C2-995D0228DD10}" id="{1193BD2E-372C-471F-B4B0-1D5D4DEBD247}">
    <text>More info on separate sheet
(How O&amp;M + Replacement was calc)</text>
  </threadedComment>
  <threadedComment ref="X37" dT="2026-01-16T19:10:06.11" personId="{3A570543-CE0C-4FE9-92C2-995D0228DD10}" id="{B029A944-6AFC-4DC9-B707-86710F00D8FC}">
    <text xml:space="preserve">UDM: k€/(MW_th*y)
This is the sum of all O&amp;M costs expect replacements.
</text>
  </threadedComment>
  <threadedComment ref="Y37" dT="2025-10-12T08:13:54.40" personId="{3A570543-CE0C-4FE9-92C2-995D0228DD10}" id="{913A99A8-6AF1-4F8F-95A7-21232ED7BBDB}">
    <text xml:space="preserve">More info on separate sheet 
(How Start up Cost was calc)
</text>
  </threadedComment>
  <threadedComment ref="Z37" dT="2025-12-07T10:29:05.17" personId="{3A570543-CE0C-4FE9-92C2-995D0228DD10}" id="{A4F7BC27-8DEB-43A0-A1BB-6D180C687861}">
    <text>UDM: k€/MWh_el
(only electricity costs, as all the other O&amp;M costs (except replacements) are considered inside O&amp;M_fix)</text>
  </threadedComment>
  <threadedComment ref="AA37" dT="2026-01-17T10:44:27.80" personId="{3A570543-CE0C-4FE9-92C2-995D0228DD10}" id="{BE3D142C-355A-46EA-93CB-606F21A22942}">
    <text>More info on separate sheet
(How O&amp;M + Replacement was calc)</text>
  </threadedComment>
  <threadedComment ref="AB37" dT="2026-01-16T19:10:06.11" personId="{3A570543-CE0C-4FE9-92C2-995D0228DD10}" id="{D1FAD821-B99F-42E7-98B7-0E355D23682D}">
    <text xml:space="preserve">UDM: k€/(MW_el*y)
This is the sum of all O&amp;M costs expect replacements.
</text>
  </threadedComment>
  <threadedComment ref="AC37" dT="2025-10-12T08:13:54.40" personId="{3A570543-CE0C-4FE9-92C2-995D0228DD10}" id="{D2F61F6A-E960-486A-ADEC-B5B5DA5375B6}">
    <text xml:space="preserve">More info on separate sheet 
(How Start up Cost was calc)
</text>
  </threadedComment>
  <threadedComment ref="AE37" dT="2026-01-16T17:30:42.53" personId="{3A570543-CE0C-4FE9-92C2-995D0228DD10}" id="{13B3CA58-DFD0-4AA7-81D7-F6CA7D50EEFD}">
    <text>COP</text>
  </threadedComment>
  <threadedComment ref="D38" dT="2025-12-15T09:56:08.24" personId="{3A570543-CE0C-4FE9-92C2-995D0228DD10}" id="{11DD7225-21FE-4974-A29C-812AA6402CAB}">
    <text xml:space="preserve">UDM: kW_el (input)
</text>
  </threadedComment>
  <threadedComment ref="P38" dT="2026-01-16T14:13:14.44" personId="{3A570543-CE0C-4FE9-92C2-995D0228DD10}" id="{B951B3E5-72EC-493E-8356-176B6793C58B}">
    <text>y = CAPEX specific (€/kW_th), 
x = size (kW_th)</text>
  </threadedComment>
  <threadedComment ref="Q38" dT="2026-01-16T14:13:14.44" personId="{3A570543-CE0C-4FE9-92C2-995D0228DD10}" id="{501F8D21-E6F4-4784-BC6F-E502F1FF1863}">
    <text>y = CAPEX specific (€/kW_el), 
x = size (kW_el)</text>
  </threadedComment>
  <threadedComment ref="V38" dT="2025-10-19T10:27:00.29" personId="{3A570543-CE0C-4FE9-92C2-995D0228DD10}" id="{7B7B4ECC-780D-4EC6-9256-3A2587D878F1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38" dT="2026-01-17T10:44:27.80" personId="{3A570543-CE0C-4FE9-92C2-995D0228DD10}" id="{5B1F94FC-F046-4ECF-971E-A59F3544598B}">
    <text>More info on separate sheet
(How O&amp;M + Replacement was calc)</text>
  </threadedComment>
  <threadedComment ref="X38" dT="2026-01-16T19:10:06.11" personId="{3A570543-CE0C-4FE9-92C2-995D0228DD10}" id="{46CA2447-02CB-4CD6-8E2C-2694CA2D3359}">
    <text xml:space="preserve">UDM: k€/(MW_th*y)
This is the sum of all O&amp;M costs expect replacements.
</text>
  </threadedComment>
  <threadedComment ref="Y38" dT="2025-10-12T08:13:54.40" personId="{3A570543-CE0C-4FE9-92C2-995D0228DD10}" id="{CFFE4097-905A-419D-959D-3E0BC05DD31E}">
    <text xml:space="preserve">More info on separate sheet 
(How Start up Cost was calc)
</text>
  </threadedComment>
  <threadedComment ref="Z38" dT="2025-12-07T10:29:05.17" personId="{3A570543-CE0C-4FE9-92C2-995D0228DD10}" id="{E21F7384-7480-46AA-BFD5-6A433E8951B4}">
    <text>UDM: k€/MWh_el
(only electricity costs, as all the other O&amp;M costs (except replacements) are considered inside O&amp;M_fix)</text>
  </threadedComment>
  <threadedComment ref="AA38" dT="2026-01-17T10:44:27.80" personId="{3A570543-CE0C-4FE9-92C2-995D0228DD10}" id="{416B88BA-A6B7-41A6-9A3F-21AF2A42823E}">
    <text>More info on separate sheet
(How O&amp;M + Replacement was calc)</text>
  </threadedComment>
  <threadedComment ref="AB38" dT="2026-01-16T19:10:06.11" personId="{3A570543-CE0C-4FE9-92C2-995D0228DD10}" id="{AACF73C9-80BA-46C0-B59D-F5B5569E9B13}">
    <text xml:space="preserve">UDM: k€/(MW_el*y)
This is the sum of all O&amp;M costs expect replacements.
</text>
  </threadedComment>
  <threadedComment ref="AC38" dT="2025-10-12T08:13:54.40" personId="{3A570543-CE0C-4FE9-92C2-995D0228DD10}" id="{C380F79E-4F05-4E48-B288-67B9F035BAE1}">
    <text xml:space="preserve">More info on separate sheet 
(How Start up Cost was calc)
</text>
  </threadedComment>
  <threadedComment ref="AE38" dT="2026-01-16T17:30:42.53" personId="{3A570543-CE0C-4FE9-92C2-995D0228DD10}" id="{46262CFE-E61A-4680-8412-3057178FB4F2}">
    <text>EER</text>
  </threadedComment>
  <threadedComment ref="D39" dT="2025-12-15T09:56:08.24" personId="{3A570543-CE0C-4FE9-92C2-995D0228DD10}" id="{67BB3220-B846-495A-9869-4AA2C2DE4E82}">
    <text xml:space="preserve">UDM: kW_el (input)
</text>
  </threadedComment>
  <threadedComment ref="P39" dT="2026-01-16T14:13:14.44" personId="{3A570543-CE0C-4FE9-92C2-995D0228DD10}" id="{40A33239-26FD-4EE1-9BDE-F8AAEFC03FA9}">
    <text>y = CAPEX specific (€/kW_th), 
x = size (kW_th)</text>
  </threadedComment>
  <threadedComment ref="Q39" dT="2026-01-16T14:13:14.44" personId="{3A570543-CE0C-4FE9-92C2-995D0228DD10}" id="{AB38C5F2-171E-4C53-93CB-6F619A0CB902}">
    <text>y = CAPEX specific (€/kW_el), 
x = size (kW_el)</text>
  </threadedComment>
  <threadedComment ref="V39" dT="2025-10-19T10:27:00.29" personId="{3A570543-CE0C-4FE9-92C2-995D0228DD10}" id="{39CC0B4B-3F2E-4E91-8A03-67338AFBA3A1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39" dT="2026-01-17T10:44:27.80" personId="{3A570543-CE0C-4FE9-92C2-995D0228DD10}" id="{1771FAE4-8E90-4FCE-A8DC-A97602E19EB0}">
    <text>More info on separate sheet
(How O&amp;M + Replacement was calc)</text>
  </threadedComment>
  <threadedComment ref="X39" dT="2026-01-16T19:10:06.11" personId="{3A570543-CE0C-4FE9-92C2-995D0228DD10}" id="{87405D9C-5BC0-40CB-AFC1-028E9CEA82DB}">
    <text xml:space="preserve">UDM: k€/(MW_th*y)
This is the sum of all O&amp;M costs expect replacements.
</text>
  </threadedComment>
  <threadedComment ref="Y39" dT="2025-10-12T08:13:54.40" personId="{3A570543-CE0C-4FE9-92C2-995D0228DD10}" id="{6A9706DB-2EEF-49B6-9651-9E89C30ACF6F}">
    <text xml:space="preserve">More info on separate sheet 
(How Start up Cost was calc)
</text>
  </threadedComment>
  <threadedComment ref="Z39" dT="2025-12-07T10:29:05.17" personId="{3A570543-CE0C-4FE9-92C2-995D0228DD10}" id="{5D7B2781-CDFC-4849-B3B6-3F0A725A7E57}">
    <text>UDM: k€/MWh_el
(only electricity costs, as all the other O&amp;M costs (except replacements) are considered inside O&amp;M_fix)</text>
  </threadedComment>
  <threadedComment ref="AA39" dT="2026-01-17T10:44:27.80" personId="{3A570543-CE0C-4FE9-92C2-995D0228DD10}" id="{10FEE559-7604-4A34-B1B4-0CF454D0CF52}">
    <text>More info on separate sheet
(How O&amp;M + Replacement was calc)</text>
  </threadedComment>
  <threadedComment ref="AB39" dT="2026-01-16T19:10:06.11" personId="{3A570543-CE0C-4FE9-92C2-995D0228DD10}" id="{10069F26-C967-449A-9DC5-DE7C2D2F8541}">
    <text xml:space="preserve">UDM: k€/(MW_el*y)
This is the sum of all O&amp;M costs expect replacements.
</text>
  </threadedComment>
  <threadedComment ref="AC39" dT="2025-10-12T08:13:54.40" personId="{3A570543-CE0C-4FE9-92C2-995D0228DD10}" id="{F9974E6C-E5A5-466B-A99E-9714FEC22E81}">
    <text xml:space="preserve">More info on separate sheet 
(How Start up Cost was calc)
</text>
  </threadedComment>
  <threadedComment ref="AE39" dT="2026-01-16T17:30:42.53" personId="{3A570543-CE0C-4FE9-92C2-995D0228DD10}" id="{779B2502-D371-4D4E-9F1B-20D7AF777BBD}">
    <text>EER</text>
  </threadedComment>
  <threadedComment ref="D40" dT="2025-12-15T09:56:08.24" personId="{3A570543-CE0C-4FE9-92C2-995D0228DD10}" id="{8E0975E6-955F-472F-B8EA-8A43E5842219}">
    <text xml:space="preserve">UDM: kW_el (input)
</text>
  </threadedComment>
  <threadedComment ref="P40" dT="2026-01-16T14:13:14.44" personId="{3A570543-CE0C-4FE9-92C2-995D0228DD10}" id="{4A9633E2-11A1-45DC-9506-987F618C2D40}">
    <text>y = CAPEX specific (€/kW_th), 
x = size (kW_th)</text>
  </threadedComment>
  <threadedComment ref="Q40" dT="2026-01-16T14:13:14.44" personId="{3A570543-CE0C-4FE9-92C2-995D0228DD10}" id="{16DFDAF4-28B3-44CB-9DEB-072D7715715D}">
    <text>y = CAPEX specific (€/kW_el), 
x = size (kW_el)</text>
  </threadedComment>
  <threadedComment ref="V40" dT="2025-10-19T10:27:00.29" personId="{3A570543-CE0C-4FE9-92C2-995D0228DD10}" id="{59A5EFFA-4FB0-41D6-AF39-95CE8D6F70B3}">
    <text>UDM: k€/MWh_el
(only electricity costs, as all the other O&amp;M costs (except replacements) are considered inside O&amp;M_fix)
EER taken = 4.98
Residential Electricity cost = 0.2872 €/kWh (from [122])
Industril Electricity cost = 0.1899€/kWh (from [122])</text>
  </threadedComment>
  <threadedComment ref="W40" dT="2026-01-17T10:44:27.80" personId="{3A570543-CE0C-4FE9-92C2-995D0228DD10}" id="{C7ED42FB-C1D9-471A-B209-8C35CCF8D1F4}">
    <text>More info on separate sheet
(How O&amp;M + Replacement was calc)</text>
  </threadedComment>
  <threadedComment ref="X40" dT="2026-01-16T19:10:06.11" personId="{3A570543-CE0C-4FE9-92C2-995D0228DD10}" id="{FB6E0579-EAA5-49CF-BA82-9A29E6E75108}">
    <text xml:space="preserve">UDM: k€/(MW_th*y)
This is the sum of all O&amp;M costs expect replacements.
</text>
  </threadedComment>
  <threadedComment ref="Y40" dT="2025-10-12T08:13:54.40" personId="{3A570543-CE0C-4FE9-92C2-995D0228DD10}" id="{A669BA0F-F033-45AB-8A43-27503142EB14}">
    <text xml:space="preserve">More info on separate sheet 
(How Start up Cost was calc)
</text>
  </threadedComment>
  <threadedComment ref="Z40" dT="2025-12-07T10:29:05.17" personId="{3A570543-CE0C-4FE9-92C2-995D0228DD10}" id="{D2273F5B-E507-4878-8C68-604A0DCC37F5}">
    <text>UDM: k€/MWh_el
(only electricity costs, as all the other O&amp;M costs (except replacements) are considered inside O&amp;M_fix)</text>
  </threadedComment>
  <threadedComment ref="AA40" dT="2026-01-17T10:44:27.80" personId="{3A570543-CE0C-4FE9-92C2-995D0228DD10}" id="{9AAA75DD-6D6F-439B-830F-B1839222AC40}">
    <text>More info on separate sheet
(How O&amp;M + Replacement was calc)</text>
  </threadedComment>
  <threadedComment ref="AB40" dT="2026-01-16T19:10:06.11" personId="{3A570543-CE0C-4FE9-92C2-995D0228DD10}" id="{65A115D0-CC05-400D-9946-2B5E542FABE0}">
    <text xml:space="preserve">UDM: k€/(MW_el*y)
This is the sum of all O&amp;M costs expect replacements.
</text>
  </threadedComment>
  <threadedComment ref="AC40" dT="2025-10-12T08:13:54.40" personId="{3A570543-CE0C-4FE9-92C2-995D0228DD10}" id="{A0A020DC-37EC-4535-9753-5EEAA6F367AD}">
    <text xml:space="preserve">More info on separate sheet 
(How Start up Cost was calc)
</text>
  </threadedComment>
  <threadedComment ref="AE40" dT="2026-01-16T17:30:42.53" personId="{3A570543-CE0C-4FE9-92C2-995D0228DD10}" id="{38980549-504B-4820-8BF9-95E9D1EED958}">
    <text>EER</text>
  </threadedComment>
  <threadedComment ref="C41" dT="2025-12-15T09:56:08.24" personId="{3A570543-CE0C-4FE9-92C2-995D0228DD10}" id="{5D56F284-B827-4E23-BA6B-0CBD7C3A7557}">
    <text xml:space="preserve">UDM: kW_LHV-H2
</text>
  </threadedComment>
  <threadedComment ref="P41" dT="2025-12-03T10:06:24.95" personId="{3A570543-CE0C-4FE9-92C2-995D0228DD10}" id="{37BE6369-E9A1-4668-B9AE-9185E3C129B2}">
    <text>UDM: $/kW_LHV-H2</text>
  </threadedComment>
  <threadedComment ref="Q41" dT="2025-12-03T10:06:24.95" personId="{3A570543-CE0C-4FE9-92C2-995D0228DD10}" id="{CF01DEEF-D5D9-4DC4-B746-48680EFA1024}">
    <text>UDM: $/kW_el</text>
  </threadedComment>
  <threadedComment ref="V41" dT="2025-10-19T13:39:52.00" personId="{3A570543-CE0C-4FE9-92C2-995D0228DD10}" id="{B4912ADD-C7B4-4E96-91AC-CB25127722EC}">
    <text>UDM: k€/MWh_LHV-H2
(only electricity costs, as all the other O&amp;M costs (except replacements) are considered inside O&amp;M_fix)
Cost el. = 0.1899 €/kWh</text>
  </threadedComment>
  <threadedComment ref="W41" dT="2025-10-12T08:13:54.40" personId="{3A570543-CE0C-4FE9-92C2-995D0228DD10}" id="{5B2BD541-9CC4-4540-9F83-2EB7FEFC314F}">
    <text>More info on separate sheet
(How O&amp;M + Replacement was calc)</text>
  </threadedComment>
  <threadedComment ref="X41" dT="2026-01-16T19:10:06.11" personId="{3A570543-CE0C-4FE9-92C2-995D0228DD10}" id="{6A450659-3930-4868-84C2-280964918A3F}">
    <text xml:space="preserve">UDM: k€/(MW_LHV-H2*y)
This is the sum of all O&amp;M costs expect replacements.
</text>
  </threadedComment>
  <threadedComment ref="Y41" dT="2025-10-12T08:13:54.40" personId="{3A570543-CE0C-4FE9-92C2-995D0228DD10}" id="{851FD7E8-CF84-4ECA-B171-355C4846DAA3}">
    <text xml:space="preserve">More info on separate sheet 
(How Start up Cost was calc)
</text>
  </threadedComment>
  <threadedComment ref="Z41" dT="2025-12-07T10:29:05.17" personId="{3A570543-CE0C-4FE9-92C2-995D0228DD10}" id="{E9FDE342-05B4-4BE8-935D-1E44C0579164}">
    <text>UDM: k€/MWh_el
(only electricity costs, as all the other O&amp;M costs (except replacements) are considered inside O&amp;M_fix)</text>
  </threadedComment>
  <threadedComment ref="AA41" dT="2026-01-17T10:44:27.80" personId="{3A570543-CE0C-4FE9-92C2-995D0228DD10}" id="{F9C82C65-DF4B-48F7-893A-E11B581FA1B9}">
    <text>More info on separate sheet
(How O&amp;M + Replacement was calc)</text>
  </threadedComment>
  <threadedComment ref="AB41" dT="2026-01-16T19:10:06.11" personId="{3A570543-CE0C-4FE9-92C2-995D0228DD10}" id="{52D34497-3D09-42C0-98E5-F760F865D7AD}">
    <text xml:space="preserve">UDM: k€/(MW_el*y)
This is the sum of all O&amp;M costs expect replacements.
</text>
  </threadedComment>
  <threadedComment ref="AC41" dT="2025-10-12T08:13:54.40" personId="{3A570543-CE0C-4FE9-92C2-995D0228DD10}" id="{2D031943-4905-409E-A307-BAF06841486F}">
    <text xml:space="preserve">More info on separate sheet 
(How Start up Cost was calc)
</text>
  </threadedComment>
  <threadedComment ref="C42" dT="2025-12-15T09:56:08.24" personId="{3A570543-CE0C-4FE9-92C2-995D0228DD10}" id="{3FCE6FFD-18FC-49A6-BB08-07AE40385042}">
    <text xml:space="preserve">UDM: kW_LHV-H2
</text>
  </threadedComment>
  <threadedComment ref="P42" dT="2025-12-03T10:06:24.95" personId="{3A570543-CE0C-4FE9-92C2-995D0228DD10}" id="{35029680-0485-4F3B-BE6B-554D3F81358D}">
    <text>UDM: $/kW_LHV-H2</text>
  </threadedComment>
  <threadedComment ref="Q42" dT="2025-12-03T10:06:24.95" personId="{3A570543-CE0C-4FE9-92C2-995D0228DD10}" id="{21106ADE-56C6-4D74-A17B-EF2795DA5548}">
    <text>UDM: $/kW_el</text>
  </threadedComment>
  <threadedComment ref="V42" dT="2025-10-19T13:39:52.00" personId="{3A570543-CE0C-4FE9-92C2-995D0228DD10}" id="{E4513309-39B8-42B9-AD3F-BA84C92E4EE0}">
    <text>UDM: k€/MWh_LHV-H2
(only electricity costs, as all the other O&amp;M costs (except replacements) are considered inside O&amp;M_fix)
Cost el. = 0.1899 €/kWh</text>
  </threadedComment>
  <threadedComment ref="W42" dT="2025-10-12T08:13:54.40" personId="{3A570543-CE0C-4FE9-92C2-995D0228DD10}" id="{B9D8DA99-EE1E-4724-97FB-223C49FCF0AA}">
    <text xml:space="preserve">More info on separate sheet
(How O&amp;M + Replacement was calc)
</text>
  </threadedComment>
  <threadedComment ref="X42" dT="2026-01-16T19:10:06.11" personId="{3A570543-CE0C-4FE9-92C2-995D0228DD10}" id="{B671DDEA-BAAE-4E9A-8006-4B36D44DB5A3}">
    <text xml:space="preserve">UDM: k€/(MW_LHV-H2*y)
This is the sum of all O&amp;M costs expect replacements.
</text>
  </threadedComment>
  <threadedComment ref="Y42" dT="2025-10-12T08:13:54.40" personId="{3A570543-CE0C-4FE9-92C2-995D0228DD10}" id="{9599D740-3D37-44D2-973A-4C0CC71C93FF}">
    <text xml:space="preserve">More info on separate sheet 
(How Start up Cost was calc)
</text>
  </threadedComment>
  <threadedComment ref="Z42" dT="2025-12-07T10:29:05.17" personId="{3A570543-CE0C-4FE9-92C2-995D0228DD10}" id="{E1C3E25F-C978-4949-A3D8-28C847AA4AB2}">
    <text>UDM: k€/MWh_el
(only electricity costs, as all the other O&amp;M costs (except replacements) are considered inside O&amp;M_fix)</text>
  </threadedComment>
  <threadedComment ref="AA42" dT="2026-01-17T10:44:27.80" personId="{3A570543-CE0C-4FE9-92C2-995D0228DD10}" id="{66A9613D-76C8-487E-8D8D-67998DE41ADD}">
    <text>More info on separate sheet
(How O&amp;M + Replacement was calc)</text>
  </threadedComment>
  <threadedComment ref="AB42" dT="2026-01-16T19:10:06.11" personId="{3A570543-CE0C-4FE9-92C2-995D0228DD10}" id="{43A29653-C4CA-4A1C-AD77-BC7DE96E69FC}">
    <text xml:space="preserve">UDM: k€/(MW_el*y)
This is the sum of all O&amp;M costs expect replacements.
</text>
  </threadedComment>
  <threadedComment ref="AC42" dT="2025-10-12T08:13:54.40" personId="{3A570543-CE0C-4FE9-92C2-995D0228DD10}" id="{0FD9B261-0340-4C9F-850C-AA8EC03509F9}">
    <text xml:space="preserve">More info on separate sheet 
(How Start up Cost was calc)
</text>
  </threadedComment>
  <threadedComment ref="D43" dT="2026-01-16T14:19:24.04" personId="{3A570543-CE0C-4FE9-92C2-995D0228DD10}" id="{1C8EA7D9-A7F4-46DA-A0D5-1092EC7B0C38}">
    <text>UDM: kW_LHV-Wood_Chips</text>
  </threadedComment>
  <threadedComment ref="P43" dT="2026-01-16T14:13:14.44" personId="{3A570543-CE0C-4FE9-92C2-995D0228DD10}" id="{466E61A9-6A76-413D-A2EC-2A1E8FDF5D1E}">
    <text>y = CAPEX specific (€/kW_th), 
x = size (kW_th)</text>
  </threadedComment>
  <threadedComment ref="Q43" dT="2026-01-16T14:13:14.44" personId="{3A570543-CE0C-4FE9-92C2-995D0228DD10}" id="{6B6DB1A3-38DF-4175-B400-DD732F5C025E}">
    <text>y = CAPEX specific (€/kW_LHV-WoodChips), 
x = size (kW_LHV-WoodChips)</text>
  </threadedComment>
  <threadedComment ref="V43" dT="2025-10-16T07:29:25.75" personId="{3A570543-CE0C-4FE9-92C2-995D0228DD10}" id="{45302AE5-873E-4625-B3AF-60D5663A291F}">
    <text>UDM: k€/MWh_th
(only fuel costs, as all the other O&amp;M costs (except replacements) are considered inside O&amp;M_fix)
Price of Wood Chips: 33.8 €/MWh
Efficiency of Wood CHip boiler 95 % 
-&gt; 0.0338 k€/MWh / 0.95 = 0.0356€/MWh
(variable cost = fuel cost only)</text>
  </threadedComment>
  <threadedComment ref="W43" dT="2025-10-12T08:13:54.40" personId="{3A570543-CE0C-4FE9-92C2-995D0228DD10}" id="{F5A4EEEC-2817-4036-9125-204EE6647358}">
    <text xml:space="preserve">More info on separate sheet
(How O&amp;M + Replacement was calc)
</text>
  </threadedComment>
  <threadedComment ref="X43" dT="2026-01-16T19:10:06.11" personId="{3A570543-CE0C-4FE9-92C2-995D0228DD10}" id="{4627E9C9-AC5C-4632-BB23-E6F5DE2CBF81}">
    <text xml:space="preserve">UDM: k€/(MW_th*y)
This is the sum of all O&amp;M costs expect replacements.
</text>
  </threadedComment>
  <threadedComment ref="Y43" dT="2025-10-12T08:13:54.40" personId="{3A570543-CE0C-4FE9-92C2-995D0228DD10}" id="{99870C08-EC0C-40AC-8E26-FB34C8AA05A1}">
    <text xml:space="preserve">More info on separate sheet 
(How Start up Cost was calc)
</text>
  </threadedComment>
  <threadedComment ref="Z43" dT="2025-12-07T10:29:05.17" personId="{3A570543-CE0C-4FE9-92C2-995D0228DD10}" id="{F7E57316-558B-414D-9574-5820EE6712E1}">
    <text>UDM: k€/MWh_LHV-WoodChips
(only fuel costs, as all the other O&amp;M costs (except replacements) are considered inside O&amp;M_fix)</text>
  </threadedComment>
  <threadedComment ref="AA43" dT="2025-10-12T08:13:54.40" personId="{3A570543-CE0C-4FE9-92C2-995D0228DD10}" id="{660AAD7B-C7F9-4F94-B5AF-A0048EF18B50}">
    <text xml:space="preserve">More info on separate sheet
(How O&amp;M + Replacement was calc)
</text>
  </threadedComment>
  <threadedComment ref="AB43" dT="2026-01-16T19:10:06.11" personId="{3A570543-CE0C-4FE9-92C2-995D0228DD10}" id="{964E7E24-D6AC-4867-A5F6-649813DAFEA6}">
    <text xml:space="preserve">UDM: k€/(MW_LHV-WoodChips*y)
This is the sum of all O&amp;M costs expect replacements.
</text>
  </threadedComment>
  <threadedComment ref="AC43" dT="2025-10-12T08:13:54.40" personId="{3A570543-CE0C-4FE9-92C2-995D0228DD10}" id="{135A7B32-F1F5-4174-9436-3D02C8247B76}">
    <text xml:space="preserve">More info on separate sheet 
(How Start up Cost was calc)
</text>
  </threadedComment>
  <threadedComment ref="D44" dT="2026-01-16T14:19:24.04" personId="{3A570543-CE0C-4FE9-92C2-995D0228DD10}" id="{BDCC9290-994D-4D23-A58A-33C13E091074}">
    <text>UDM: kW_LHV-Wood_Chips</text>
  </threadedComment>
  <threadedComment ref="P44" dT="2026-01-16T14:13:14.44" personId="{3A570543-CE0C-4FE9-92C2-995D0228DD10}" id="{7F6EAD50-2935-4037-BC66-706C8BEEEC62}">
    <text>y = CAPEX specific (€/kW_th), 
x = size (kW_th)</text>
  </threadedComment>
  <threadedComment ref="Q44" dT="2026-01-16T14:13:14.44" personId="{3A570543-CE0C-4FE9-92C2-995D0228DD10}" id="{217CACE7-238A-4998-8204-687C195C9E67}">
    <text>y = CAPEX specific (€/kW_LHV-WoodChips), 
x = size (kW_LHV-WoodChips)</text>
  </threadedComment>
  <threadedComment ref="V44" dT="2025-10-16T07:29:25.75" personId="{3A570543-CE0C-4FE9-92C2-995D0228DD10}" id="{1E1960BE-AF93-4085-A49D-7101012A2713}">
    <text>UDM: k€/MWh_th
(only fuel costs, as all the other O&amp;M costs (except replacements) are considered inside O&amp;M_fix)
Price of Wood Chips: 33.8 €/MWh
Efficiency of Wood CHip boiler 95 % 
-&gt; 0.0338 k€/MWh / 0.95 = 0.0356€/MWh
(variable cost = fuel cost only)</text>
  </threadedComment>
  <threadedComment ref="W44" dT="2025-10-12T08:13:54.40" personId="{3A570543-CE0C-4FE9-92C2-995D0228DD10}" id="{462A4181-F790-4A61-976C-1764E276B0CB}">
    <text xml:space="preserve">More info on separate sheet
(How O&amp;M + Replacement was calc)
</text>
  </threadedComment>
  <threadedComment ref="X44" dT="2026-01-16T19:10:06.11" personId="{3A570543-CE0C-4FE9-92C2-995D0228DD10}" id="{10E72699-926B-49F3-9F5A-3DCB3C21D10E}">
    <text xml:space="preserve">UDM: k€/(MW_th*y)
This is the sum of all O&amp;M costs expect replacements.
</text>
  </threadedComment>
  <threadedComment ref="Y44" dT="2025-10-12T08:13:54.40" personId="{3A570543-CE0C-4FE9-92C2-995D0228DD10}" id="{5CAB4864-EF4E-4A08-B4FE-B387AACCABD7}">
    <text xml:space="preserve">More info on separate sheet 
(How Start up Cost was calc)
</text>
  </threadedComment>
  <threadedComment ref="Z44" dT="2025-12-07T10:29:05.17" personId="{3A570543-CE0C-4FE9-92C2-995D0228DD10}" id="{6EEED253-AFD0-4F93-B21E-0FAF27053142}">
    <text>UDM: k€/MWh_LHV-WoodChips
(only fuel costs, as all the other O&amp;M costs (except replacements) are considered inside O&amp;M_fix)</text>
  </threadedComment>
  <threadedComment ref="AA44" dT="2025-10-12T08:13:54.40" personId="{3A570543-CE0C-4FE9-92C2-995D0228DD10}" id="{24ACC898-95D2-4594-8286-1283E1B3E311}">
    <text xml:space="preserve">More info on separate sheet
(How O&amp;M + Replacement was calc)
</text>
  </threadedComment>
  <threadedComment ref="AB44" dT="2026-01-16T19:10:06.11" personId="{3A570543-CE0C-4FE9-92C2-995D0228DD10}" id="{B5FA882F-F895-4748-B193-D1F7E839EAFF}">
    <text xml:space="preserve">UDM: k€/(MW_LHV-WoodChips*y)
This is the sum of all O&amp;M costs expect replacements.
</text>
  </threadedComment>
  <threadedComment ref="AC44" dT="2025-10-12T08:13:54.40" personId="{3A570543-CE0C-4FE9-92C2-995D0228DD10}" id="{3477D341-2B59-4939-850E-3FF90F8CCD19}">
    <text xml:space="preserve">More info on separate sheet 
(How Start up Cost was calc)
</text>
  </threadedComment>
  <threadedComment ref="C45" dT="2026-01-17T16:05:04.08" personId="{3A570543-CE0C-4FE9-92C2-995D0228DD10}" id="{23FC7C1A-9088-478A-B338-1102D20AFD02}">
    <text>Max. size can be much higher, but at that point wood chips is much more convenient, or other non-biomass solutions.</text>
  </threadedComment>
  <threadedComment ref="D45" dT="2026-01-16T14:19:24.04" personId="{3A570543-CE0C-4FE9-92C2-995D0228DD10}" id="{039AD9CB-CD89-4FB9-91CB-21F83EE97684}">
    <text>UDM: kW_LHV-Pellet</text>
  </threadedComment>
  <threadedComment ref="P45" dT="2026-01-16T14:13:14.44" personId="{3A570543-CE0C-4FE9-92C2-995D0228DD10}" id="{CF99DE33-A3AE-435C-961B-F70EAFB5E7C2}">
    <text>y = CAPEX specific (€/kW_th), 
x = size (kW_th)</text>
  </threadedComment>
  <threadedComment ref="Q45" dT="2026-01-16T14:13:14.44" personId="{3A570543-CE0C-4FE9-92C2-995D0228DD10}" id="{4F9E3FCA-9217-4A72-A314-350B7E60CFCA}">
    <text>y = CAPEX specific (€/kW_LHV-Pellet), 
x = size (kW_LHV-Pellet)</text>
  </threadedComment>
  <threadedComment ref="V45" dT="2025-10-16T07:29:25.75" personId="{3A570543-CE0C-4FE9-92C2-995D0228DD10}" id="{6E97CDA4-281E-4910-AC9F-6862730D6AB3}">
    <text>UDM: k€/MWh_th
(only fuel costs, as all the other O&amp;M costs (except replacements) are considered inside O&amp;M_fix)
Price of Pellet: 56.4 €/MWh
Efficiency of Wood CHip boiler 95 % 
-&gt; 0.0564 k€/MWh / 0.95 = 0.0594€/MWh
(variable cost = fuel cost only)</text>
  </threadedComment>
  <threadedComment ref="W45" dT="2025-10-12T08:13:54.40" personId="{3A570543-CE0C-4FE9-92C2-995D0228DD10}" id="{F251539D-3DD1-4FB6-9A2D-DD9341130B0B}">
    <text xml:space="preserve">More info on separate sheet
(How O&amp;M + Replacement was calc)
</text>
  </threadedComment>
  <threadedComment ref="X45" dT="2026-01-16T19:10:06.11" personId="{3A570543-CE0C-4FE9-92C2-995D0228DD10}" id="{51B723B5-D9AE-4D58-80C7-DE0E2621F9AD}">
    <text xml:space="preserve">UDM: k€/(MW_th*y)
This is the sum of all O&amp;M costs expect replacements.
</text>
  </threadedComment>
  <threadedComment ref="Y45" dT="2025-10-12T08:13:54.40" personId="{3A570543-CE0C-4FE9-92C2-995D0228DD10}" id="{D5A3E427-4F96-414F-9C5B-1490025855A4}">
    <text xml:space="preserve">More info on separate sheet 
(How Start up Cost was calc)
</text>
  </threadedComment>
  <threadedComment ref="Z45" dT="2025-12-07T10:29:05.17" personId="{3A570543-CE0C-4FE9-92C2-995D0228DD10}" id="{E5E30269-704D-4A66-8C4E-450190AE481E}">
    <text>UDM: k€/MWh_LHV-Pellet
(only fuel costs, as all the other O&amp;M costs (except replacements) are considered inside O&amp;M_fix)</text>
  </threadedComment>
  <threadedComment ref="AA45" dT="2025-10-12T08:13:54.40" personId="{3A570543-CE0C-4FE9-92C2-995D0228DD10}" id="{D77AFB53-5C32-4E53-83FA-9378DD768000}">
    <text xml:space="preserve">More info on separate sheet
(How O&amp;M + Replacement was calc)
</text>
  </threadedComment>
  <threadedComment ref="AB45" dT="2026-01-16T19:10:06.11" personId="{3A570543-CE0C-4FE9-92C2-995D0228DD10}" id="{CE527D06-4CBA-4538-9D41-333080FA8A34}">
    <text xml:space="preserve">UDM: k€/(MW_LHV-Pellet*y)
This is the sum of all O&amp;M costs expect replacements.
</text>
  </threadedComment>
  <threadedComment ref="AC45" dT="2025-10-12T08:13:54.40" personId="{3A570543-CE0C-4FE9-92C2-995D0228DD10}" id="{9176186A-5FE1-4946-8527-D864B004B8E5}">
    <text xml:space="preserve">More info on separate sheet 
(How Start up Cost was calc)
</text>
  </threadedComment>
  <threadedComment ref="D46" dT="2026-01-16T14:19:24.04" personId="{3A570543-CE0C-4FE9-92C2-995D0228DD10}" id="{32FD843E-6232-42FC-9235-28ED8E00F520}">
    <text>UDM: kW_LHV-biomass</text>
  </threadedComment>
  <threadedComment ref="P46" dT="2026-01-16T14:13:14.44" personId="{3A570543-CE0C-4FE9-92C2-995D0228DD10}" id="{1E17D209-70F6-42E3-B8D7-37625322F6E0}">
    <text>y = CAPEX specific (€/kW_el), 
x = size (kW_el)</text>
  </threadedComment>
  <threadedComment ref="Q46" dT="2026-01-16T14:13:14.44" personId="{3A570543-CE0C-4FE9-92C2-995D0228DD10}" id="{1595C250-2DAB-4F67-8058-87F666F14131}">
    <text>y = CAPEX specific (€/MW_LHV-biomass), 
x = size (MW_LHV-biomass)</text>
  </threadedComment>
  <threadedComment ref="V46" dT="2025-11-22T11:59:50.01" personId="{3A570543-CE0C-4FE9-92C2-995D0228DD10}" id="{7EBDFDA3-EEF2-40C4-A62D-1EFE0421D512}">
    <text>Biomass to feed considered as waste</text>
  </threadedComment>
  <threadedComment ref="W46" dT="2025-10-12T08:13:54.40" personId="{3A570543-CE0C-4FE9-92C2-995D0228DD10}" id="{C827F0CD-3EB3-458F-AB74-56E8160ABC99}">
    <text xml:space="preserve">More info on separate sheet
(How O&amp;M + Replacement was calc)
</text>
  </threadedComment>
  <threadedComment ref="X46" dT="2025-11-22T10:04:44.76" personId="{3A570543-CE0C-4FE9-92C2-995D0228DD10}" id="{0A783631-182F-4EF7-A43B-CDC411B70288}">
    <text xml:space="preserve">UDM: k€/(MW_el*y)
This is the sum of all O&amp;M costs expect replacements.
</text>
  </threadedComment>
  <threadedComment ref="Y46" dT="2025-10-12T08:13:54.40" personId="{3A570543-CE0C-4FE9-92C2-995D0228DD10}" id="{37320ACD-F91A-4B39-B0F3-E96AA1D94654}">
    <text xml:space="preserve">More info on separate sheet (Startup Cost)
</text>
  </threadedComment>
  <threadedComment ref="Z46" dT="2025-11-22T11:59:50.01" personId="{3A570543-CE0C-4FE9-92C2-995D0228DD10}" id="{2908E221-B32A-4C91-9878-25C93018E285}">
    <text>Biomass to feed considered as waste</text>
  </threadedComment>
  <threadedComment ref="AA46" dT="2025-10-12T08:13:54.40" personId="{3A570543-CE0C-4FE9-92C2-995D0228DD10}" id="{693B194C-5C7E-4EEB-8F53-02BDA529D7F3}">
    <text xml:space="preserve">More info on separate sheet
(How O&amp;M + Replacement was calc)
</text>
  </threadedComment>
  <threadedComment ref="AB46" dT="2025-11-22T10:04:44.76" personId="{3A570543-CE0C-4FE9-92C2-995D0228DD10}" id="{72FCA026-A760-4197-A0A9-374561C782B2}">
    <text xml:space="preserve">UDM: k€/(MW_el*y)
This is the sum of all O&amp;M costs expect replacements.
</text>
  </threadedComment>
  <threadedComment ref="AC46" dT="2025-10-12T08:13:54.40" personId="{3A570543-CE0C-4FE9-92C2-995D0228DD10}" id="{3108049A-CF4C-43C6-B934-12BA17AE4A02}">
    <text xml:space="preserve">More info on separate sheet (Startup Cost)
</text>
  </threadedComment>
  <threadedComment ref="D47" dT="2026-01-16T14:19:24.04" personId="{3A570543-CE0C-4FE9-92C2-995D0228DD10}" id="{E107B611-CD46-401C-9091-58902A4BEE29}">
    <text>UDM: kW_LHV-biomass</text>
  </threadedComment>
  <threadedComment ref="P47" dT="2026-01-16T14:13:14.44" personId="{3A570543-CE0C-4FE9-92C2-995D0228DD10}" id="{8760D358-FF53-4DC7-ADA0-AB07F72AA862}">
    <text>y = CAPEX specific (€/kW_el), 
x = size (kW_el)</text>
  </threadedComment>
  <threadedComment ref="Q47" dT="2026-01-16T14:13:14.44" personId="{3A570543-CE0C-4FE9-92C2-995D0228DD10}" id="{8DE3D26E-5853-4975-94A0-87C94420A80A}">
    <text>y = CAPEX specific (€/MW_LHV-biomass), 
x = size (MW_LHV-biomass)</text>
  </threadedComment>
  <threadedComment ref="V47" dT="2025-11-22T11:59:50.01" personId="{3A570543-CE0C-4FE9-92C2-995D0228DD10}" id="{100ECED4-D4A9-454C-B42C-9030B0DBAAAB}">
    <text>Biomass to feed considered as waste</text>
  </threadedComment>
  <threadedComment ref="W47" dT="2025-10-12T08:13:54.40" personId="{3A570543-CE0C-4FE9-92C2-995D0228DD10}" id="{0CC683C4-71DF-4564-99A9-A400EFC5E333}">
    <text xml:space="preserve">More info on separate sheet
(How O&amp;M + Replacement was calc)
</text>
  </threadedComment>
  <threadedComment ref="X47" dT="2025-11-22T10:04:44.76" personId="{3A570543-CE0C-4FE9-92C2-995D0228DD10}" id="{5468051B-3077-45DA-B93B-4CE452F848F9}">
    <text xml:space="preserve">UDM: k€/(MW_el*y)
This is the sum of all O&amp;M costs expect replacements.
</text>
  </threadedComment>
  <threadedComment ref="Y47" dT="2025-10-12T08:13:54.40" personId="{3A570543-CE0C-4FE9-92C2-995D0228DD10}" id="{32AB0B93-4170-4338-B026-9F33AB6FDF92}">
    <text xml:space="preserve">More info on separate sheet (Startup Cost)
</text>
  </threadedComment>
  <threadedComment ref="Z47" dT="2025-11-22T11:59:50.01" personId="{3A570543-CE0C-4FE9-92C2-995D0228DD10}" id="{14B76592-3108-46D0-95A3-0EE2F854965B}">
    <text>Biomass to feed considered as waste</text>
  </threadedComment>
  <threadedComment ref="AA47" dT="2025-10-12T08:13:54.40" personId="{3A570543-CE0C-4FE9-92C2-995D0228DD10}" id="{DDB043DC-7E8F-4106-A1F5-6DC97C09A652}">
    <text xml:space="preserve">More info on separate sheet
(How O&amp;M + Replacement was calc)
</text>
  </threadedComment>
  <threadedComment ref="AB47" dT="2025-11-22T10:04:44.76" personId="{3A570543-CE0C-4FE9-92C2-995D0228DD10}" id="{D0640180-C62A-47E5-A988-E28C7B5EB37D}">
    <text xml:space="preserve">UDM: k€/(MW_el*y)
This is the sum of all O&amp;M costs expect replacements.
</text>
  </threadedComment>
  <threadedComment ref="AC47" dT="2025-10-12T08:13:54.40" personId="{3A570543-CE0C-4FE9-92C2-995D0228DD10}" id="{4B02C9DA-3DAD-4CC1-B241-C5E212ABF5AD}">
    <text xml:space="preserve">More info on separate sheet (Startup Cost)
</text>
  </threadedComment>
  <threadedComment ref="C48" dT="2025-11-28T13:12:12.36" personId="{3A570543-CE0C-4FE9-92C2-995D0228DD10}" id="{CB1E0363-A08E-44C3-8202-8EBDD2741354}">
    <text>Udm: kW_th-cooling</text>
  </threadedComment>
  <threadedComment ref="D48" dT="2025-11-28T13:12:12.36" personId="{3A570543-CE0C-4FE9-92C2-995D0228DD10}" id="{509CEE46-E675-4D3E-A607-A5C3A4BA936D}">
    <text>Udm: kW_th (input)</text>
  </threadedComment>
  <threadedComment ref="P48" dT="2025-11-23T09:41:55.51" personId="{3A570543-CE0C-4FE9-92C2-995D0228DD10}" id="{BA33F460-77C7-4DDF-A97A-7E362594A846}">
    <text>Udm: $/kW_th-cooling</text>
  </threadedComment>
  <threadedComment ref="Q48" dT="2025-11-23T09:41:55.51" personId="{3A570543-CE0C-4FE9-92C2-995D0228DD10}" id="{040DB34B-F648-4352-9973-2F7E75BD282F}">
    <text>Udm: $/kW_th_input</text>
  </threadedComment>
  <threadedComment ref="V48" dT="2025-11-22T11:59:50.01" personId="{3A570543-CE0C-4FE9-92C2-995D0228DD10}" id="{E2EF365D-F512-46F8-85F3-1D553A799E83}">
    <text>Input heat considered as waste</text>
  </threadedComment>
  <threadedComment ref="W48" dT="2025-10-12T08:13:54.40" personId="{3A570543-CE0C-4FE9-92C2-995D0228DD10}" id="{95B1A9D8-2F5A-4D04-96F2-6F42BF8A4C0E}">
    <text xml:space="preserve">More info on separate sheet
(How O&amp;M + Replacement was calc)
</text>
  </threadedComment>
  <threadedComment ref="X48" dT="2025-11-22T10:04:44.76" personId="{3A570543-CE0C-4FE9-92C2-995D0228DD10}" id="{ADB4B9BC-3825-4AC5-AD2C-AF747C4B40DC}">
    <text xml:space="preserve">UDM: k€/(MW_th_cooling*y)
This is the sum of all O&amp;M costs expect replacements.
</text>
  </threadedComment>
  <threadedComment ref="Y48" dT="2025-10-12T08:13:54.40" personId="{3A570543-CE0C-4FE9-92C2-995D0228DD10}" id="{F473F683-46F4-404C-9BA9-B93217A299F6}">
    <text xml:space="preserve">More info on separate sheet (Startup Cost)
</text>
  </threadedComment>
  <threadedComment ref="Z48" dT="2025-11-22T11:59:50.01" personId="{3A570543-CE0C-4FE9-92C2-995D0228DD10}" id="{08B68112-5CF4-4406-AA73-CF005FEE3A6C}">
    <text>Input heat considered as waste</text>
  </threadedComment>
  <threadedComment ref="AA48" dT="2025-10-12T08:13:54.40" personId="{3A570543-CE0C-4FE9-92C2-995D0228DD10}" id="{5427C40B-A6B1-4E54-ABAB-7015D0DBF55D}">
    <text xml:space="preserve">More info on separate sheet
(How O&amp;M + Replacement was calc)
</text>
  </threadedComment>
  <threadedComment ref="AB48" dT="2025-11-22T10:04:44.76" personId="{3A570543-CE0C-4FE9-92C2-995D0228DD10}" id="{2CCBD7AA-47E3-4BE9-9825-C5097336501F}">
    <text xml:space="preserve">UDM: k€/(MW_th_input*y)
This is the sum of all O&amp;M costs expect replacements.
</text>
  </threadedComment>
  <threadedComment ref="AC48" dT="2025-10-12T08:13:54.40" personId="{3A570543-CE0C-4FE9-92C2-995D0228DD10}" id="{71EAB46A-4323-4EAC-AC76-CFC69FC8DB8B}">
    <text xml:space="preserve">More info on separate sheet (Startup Cost)
</text>
  </threadedComment>
  <threadedComment ref="AE48" dT="2025-12-16T09:01:41.36" personId="{3A570543-CE0C-4FE9-92C2-995D0228DD10}" id="{4CA88D69-B9C8-421A-AE53-A6A8D9C35F38}">
    <text>EER</text>
  </threadedComment>
  <threadedComment ref="C49" dT="2025-11-28T13:12:12.36" personId="{3A570543-CE0C-4FE9-92C2-995D0228DD10}" id="{580206CF-54EF-4EEE-860B-671F2C81AF87}">
    <text>Udm: kW_th-cooling</text>
  </threadedComment>
  <threadedComment ref="D49" dT="2025-11-28T13:12:12.36" personId="{3A570543-CE0C-4FE9-92C2-995D0228DD10}" id="{42418126-EFEC-4B6C-A479-6045E1D57EBC}">
    <text>Udm: kW_th (input)</text>
  </threadedComment>
  <threadedComment ref="P49" dT="2026-01-16T14:13:14.44" personId="{3A570543-CE0C-4FE9-92C2-995D0228DD10}" id="{7AF61574-B490-4992-8321-F9DE0C2E2D17}">
    <text>y = CAPEX specific (€/kW_th), 
x = size (kW_th)</text>
  </threadedComment>
  <threadedComment ref="Q49" dT="2026-01-16T14:13:14.44" personId="{3A570543-CE0C-4FE9-92C2-995D0228DD10}" id="{C7038EAE-6F4C-4FE0-AB3E-FA6961E14DA6}">
    <text>y = CAPEX specific (€/kW_th), 
x = size (kW_th)</text>
  </threadedComment>
  <threadedComment ref="V49" dT="2025-11-22T11:59:50.01" personId="{3A570543-CE0C-4FE9-92C2-995D0228DD10}" id="{3B0A9D65-B309-49BD-99BD-AC90E0741957}">
    <text>Input heat considered as waste</text>
  </threadedComment>
  <threadedComment ref="W49" dT="2025-10-12T08:13:54.40" personId="{3A570543-CE0C-4FE9-92C2-995D0228DD10}" id="{7BC9DA7B-218F-45FA-8331-69C953223279}">
    <text xml:space="preserve">More info on separate sheet
(How O&amp;M + Replacement was calc)
</text>
  </threadedComment>
  <threadedComment ref="X49" dT="2025-11-22T10:04:44.76" personId="{3A570543-CE0C-4FE9-92C2-995D0228DD10}" id="{9A4F04F6-5738-4EB5-A686-0A231359CFE6}">
    <text xml:space="preserve">UDM: k€/(MW_th_cooling*y)
This is the sum of all O&amp;M costs expect replacements.
</text>
  </threadedComment>
  <threadedComment ref="Y49" dT="2025-10-12T08:13:54.40" personId="{3A570543-CE0C-4FE9-92C2-995D0228DD10}" id="{C047F932-2CE6-4FDC-80E9-72CDC0CA3139}">
    <text xml:space="preserve">More info on separate sheet (Startup Cost)
</text>
  </threadedComment>
  <threadedComment ref="Z49" dT="2025-11-22T11:59:50.01" personId="{3A570543-CE0C-4FE9-92C2-995D0228DD10}" id="{8FD03F83-3320-4D47-B964-2522998FAF61}">
    <text>Input heat considered as waste</text>
  </threadedComment>
  <threadedComment ref="AA49" dT="2025-10-12T08:13:54.40" personId="{3A570543-CE0C-4FE9-92C2-995D0228DD10}" id="{51AD4D24-31DE-4990-A806-8E5594C6364F}">
    <text xml:space="preserve">More info on separate sheet
(How O&amp;M + Replacement was calc)
</text>
  </threadedComment>
  <threadedComment ref="AB49" dT="2025-11-22T10:04:44.76" personId="{3A570543-CE0C-4FE9-92C2-995D0228DD10}" id="{280CE71B-6BD2-4900-858B-EFAC6141333C}">
    <text xml:space="preserve">UDM: k€/(MW_th_input*y)
This is the sum of all O&amp;M costs expect replacements.
</text>
  </threadedComment>
  <threadedComment ref="AC49" dT="2025-10-12T08:13:54.40" personId="{3A570543-CE0C-4FE9-92C2-995D0228DD10}" id="{2567C9CF-6EC3-4E67-A42A-7FC615BE6147}">
    <text xml:space="preserve">More info on separate sheet (Startup Cost)
</text>
  </threadedComment>
  <threadedComment ref="AE49" dT="2025-12-16T09:01:41.36" personId="{3A570543-CE0C-4FE9-92C2-995D0228DD10}" id="{E8662945-6178-45B2-B4F1-782C2887A1D0}">
    <text>EER</text>
  </threadedComment>
  <threadedComment ref="C50" dT="2025-11-28T13:12:12.36" personId="{3A570543-CE0C-4FE9-92C2-995D0228DD10}" id="{F3BDB8D9-0836-44B9-A64A-AA6D00FCF922}">
    <text>Udm: kW_th_cooling
Over 2 MW_th water solution is advised!</text>
  </threadedComment>
  <threadedComment ref="D50" dT="2025-12-15T09:56:08.24" personId="{3A570543-CE0C-4FE9-92C2-995D0228DD10}" id="{6E897B85-9D0E-471C-A510-55ED8ED2E28B}">
    <text xml:space="preserve">UDM: kW_el (input)
</text>
  </threadedComment>
  <threadedComment ref="P50" dT="2025-11-23T09:41:55.51" personId="{3A570543-CE0C-4FE9-92C2-995D0228DD10}" id="{E689A177-F138-4612-BEB0-E4D42EF74C2A}">
    <text>Udm: €/kW_th</text>
  </threadedComment>
  <threadedComment ref="Q50" dT="2025-11-23T09:41:55.51" personId="{3A570543-CE0C-4FE9-92C2-995D0228DD10}" id="{BE14FE0B-84A0-4AA2-B619-C7759F307EFC}">
    <text>Udm: €/kW_el</text>
  </threadedComment>
  <threadedComment ref="V50" dT="2025-10-18T13:15:23.65" personId="{3A570543-CE0C-4FE9-92C2-995D0228DD10}" id="{6E258FD8-F750-443B-8797-FB20B514C7E5}">
    <text>UDM: k€/MWh_th
(only fuel costs, as all the other O&amp;M costs (except replacements) are considered inside O&amp;M_fix)
EU industrial electricity price (€0.1899 / kWh) 
= Electricity price ($or€ per kWh​) / COP
(air, COP = 3.3)
(water, COP = 5)</text>
  </threadedComment>
  <threadedComment ref="W50" dT="2026-01-17T10:44:27.80" personId="{3A570543-CE0C-4FE9-92C2-995D0228DD10}" id="{EA31F0B0-95F9-4A9D-BD1A-72B472D24F2C}">
    <text>More info on separate sheet
(How O&amp;M + Replacement was calc)</text>
  </threadedComment>
  <threadedComment ref="X50" dT="2025-11-23T11:02:06.19" personId="{3A570543-CE0C-4FE9-92C2-995D0228DD10}" id="{7A7A7224-588C-46A5-8EA0-C00B9BCD4DB6}">
    <text>[202]  the OPEX_fix are 3% Capex 
Udm: k€/MW_th*y
This is the sum of all O&amp;M costs expect replacements.</text>
  </threadedComment>
  <threadedComment ref="Y50" dT="2025-10-12T08:13:54.40" personId="{3A570543-CE0C-4FE9-92C2-995D0228DD10}" id="{C8621012-4498-49CE-802E-5665616A8077}">
    <text xml:space="preserve">More info on separate sheet (Startup Cost)
</text>
  </threadedComment>
  <threadedComment ref="Z50" dT="2025-12-07T10:29:05.17" personId="{3A570543-CE0C-4FE9-92C2-995D0228DD10}" id="{441F3988-C473-423D-9C05-899286510DA7}">
    <text>UDM: k€/MWh_el
(only electricity costs, as all the other O&amp;M costs (except replacements) are considered inside O&amp;M_fix)</text>
  </threadedComment>
  <threadedComment ref="AA50" dT="2026-01-17T10:44:27.80" personId="{3A570543-CE0C-4FE9-92C2-995D0228DD10}" id="{F8119C41-36F5-4BE3-B876-81D7617CB314}">
    <text>More info on separate sheet
(How O&amp;M + Replacement was calc)</text>
  </threadedComment>
  <threadedComment ref="AB50" dT="2025-11-23T11:02:06.19" personId="{3A570543-CE0C-4FE9-92C2-995D0228DD10}" id="{6702C07E-1883-449B-8491-C1670F7054B6}">
    <text>[202]  the OPEX_fix are 3% Capex 
Udm: k€/MW_el*y</text>
  </threadedComment>
  <threadedComment ref="AC50" dT="2025-10-12T08:13:54.40" personId="{3A570543-CE0C-4FE9-92C2-995D0228DD10}" id="{476C9844-7BEA-4C7C-A79D-5FEE2ADAB712}">
    <text xml:space="preserve">More info on separate sheet (Startup Cost)
</text>
  </threadedComment>
  <threadedComment ref="AE50" dT="2025-12-16T09:01:41.36" personId="{3A570543-CE0C-4FE9-92C2-995D0228DD10}" id="{A1F85097-63FE-4669-8E46-2F1CABB4E71B}">
    <text>EER</text>
  </threadedComment>
  <threadedComment ref="P51" dT="2025-11-23T09:41:55.51" personId="{3A570543-CE0C-4FE9-92C2-995D0228DD10}" id="{2D2D5251-9DDA-4762-91A0-5804E07E2260}">
    <text xml:space="preserve">y = CAPEX specific (€/kW_el_DC), 
x = size (kW_el_DC)
</text>
  </threadedComment>
  <threadedComment ref="V51" dT="2026-01-17T14:48:24.40" personId="{3A570543-CE0C-4FE9-92C2-995D0228DD10}" id="{8CC7EE1C-C331-4208-976B-702D10D52AC0}">
    <text>Only fuel costs are considered, as all the other O&amp;M costs (except replacements) are considered inside O&amp;M_fix.</text>
  </threadedComment>
  <threadedComment ref="W51" dT="2026-01-17T10:44:27.80" personId="{3A570543-CE0C-4FE9-92C2-995D0228DD10}" id="{FBE5DB74-419A-4A8C-BEC3-FA005DDEB053}">
    <text>More info on separate sheet
(How O&amp;M + Replacement was calc)</text>
  </threadedComment>
  <threadedComment ref="X51" dT="2026-01-17T14:49:49.31" personId="{3A570543-CE0C-4FE9-92C2-995D0228DD10}" id="{333E5C13-D8B0-4530-B758-62DA3B82AB05}">
    <text xml:space="preserve">Udm: k€/MW_el_DC*y
This is the sum of all O&amp;M costs expect replacements.
</text>
  </threadedComment>
  <threadedComment ref="C52" dT="2025-12-15T10:03:27.62" personId="{3A570543-CE0C-4FE9-92C2-995D0228DD10}" id="{86F31E6F-04AA-46FD-8894-E8A7BD1957EA}">
    <text>UDM: kW_el</text>
  </threadedComment>
  <threadedComment ref="P52" dT="2025-12-10T14:08:29.89" personId="{3A570543-CE0C-4FE9-92C2-995D0228DD10}" id="{F45FF249-2AD9-4A72-88F1-92372EE3C1BB}">
    <text>Udm: €/kW_el</text>
  </threadedComment>
  <threadedComment ref="Q52" dT="2025-12-10T14:08:29.89" personId="{3A570543-CE0C-4FE9-92C2-995D0228DD10}" id="{12664D7D-02AF-44B1-8834-8F5FB1328968}">
    <text>UDM: $/kW</text>
  </threadedComment>
  <threadedComment ref="V52" dT="2026-01-17T14:48:24.40" personId="{3A570543-CE0C-4FE9-92C2-995D0228DD10}" id="{C7F0F13B-E3FB-4120-94BD-150752980476}">
    <text>Only fuel costs are considered, as all the other O&amp;M costs (except replacements) are considered inside O&amp;M_fix.</text>
  </threadedComment>
  <threadedComment ref="W52" dT="2026-01-17T10:44:27.80" personId="{3A570543-CE0C-4FE9-92C2-995D0228DD10}" id="{76B4D2E4-3A4F-4DDE-ADFC-DEFCC0AA4F6E}">
    <text>More info on separate sheet
(How O&amp;M + Replacement was calc)</text>
  </threadedComment>
  <threadedComment ref="X52" dT="2026-01-17T14:49:49.31" personId="{3A570543-CE0C-4FE9-92C2-995D0228DD10}" id="{D695400A-592B-4C34-8373-FA330F741D40}">
    <text xml:space="preserve">Udm: k€/MW_el*y
This is the sum of all O&amp;M costs expect replacements.
</text>
  </threadedComment>
  <threadedComment ref="P53" dT="2026-01-16T14:13:14.44" personId="{3A570543-CE0C-4FE9-92C2-995D0228DD10}" id="{38496C19-BF50-4A54-8D01-977F7852EDF0}">
    <text>y = CAPEX specific (€/kW_el), 
x = size (kW_el)</text>
  </threadedComment>
  <threadedComment ref="V53" dT="2026-01-17T14:48:24.40" personId="{3A570543-CE0C-4FE9-92C2-995D0228DD10}" id="{F0A88981-CB2A-4F96-B5CF-9538910B5778}">
    <text>Only fuel costs are considered, as all the other O&amp;M costs (except replacements) are considered inside O&amp;M_fix.</text>
  </threadedComment>
  <threadedComment ref="W53" dT="2026-01-17T10:44:27.80" personId="{3A570543-CE0C-4FE9-92C2-995D0228DD10}" id="{3A4AFF6B-D633-4A33-8366-9623C5321A67}">
    <text>More info on separate sheet
(How O&amp;M + Replacement was calc)</text>
  </threadedComment>
  <threadedComment ref="X53" dT="2026-01-17T14:49:49.31" personId="{3A570543-CE0C-4FE9-92C2-995D0228DD10}" id="{8B04DCAD-4817-454C-B43E-1874DA748965}">
    <text xml:space="preserve">Udm: k€/MW_el*y
This is the sum of all O&amp;M costs expect replacements.
</text>
  </threadedComment>
  <threadedComment ref="P54" dT="2026-01-16T14:13:14.44" personId="{3A570543-CE0C-4FE9-92C2-995D0228DD10}" id="{B03810E3-55D5-46C0-A197-74EE6683E063}">
    <text>y = CAPEX specific (€/kW_el), 
x = size (kW_el)</text>
  </threadedComment>
  <threadedComment ref="V54" dT="2026-01-17T14:48:24.40" personId="{3A570543-CE0C-4FE9-92C2-995D0228DD10}" id="{B5C47B1D-7867-44E1-8D28-1C046442B943}">
    <text>Only fuel costs are considered, as all the other O&amp;M costs (except replacements) are considered inside O&amp;M_fix.</text>
  </threadedComment>
  <threadedComment ref="W54" dT="2026-01-17T10:44:27.80" personId="{3A570543-CE0C-4FE9-92C2-995D0228DD10}" id="{D9016EDE-4742-4B1B-9F1B-4E304D56EB5E}">
    <text>More info on separate sheet
(How O&amp;M + Replacement was calc)</text>
  </threadedComment>
  <threadedComment ref="X54" dT="2026-01-17T14:49:49.31" personId="{3A570543-CE0C-4FE9-92C2-995D0228DD10}" id="{FA835A8B-4B8D-4A1D-81A5-0460A25BFDED}">
    <text xml:space="preserve">Udm: k€/MW_el*y
This is the sum of all O&amp;M costs expect replacements.
</text>
  </threadedComment>
  <threadedComment ref="M55" dT="2025-10-11T09:25:45.21" personId="{3A570543-CE0C-4FE9-92C2-995D0228DD10}" id="{7B758776-8FBE-45BD-806E-5F38057E1487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N55" dT="2025-10-11T09:25:45.21" personId="{3A570543-CE0C-4FE9-92C2-995D0228DD10}" id="{B757E6A7-E7AB-43D9-B8A9-AB3392688711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P55" dT="2026-01-16T14:13:14.44" personId="{3A570543-CE0C-4FE9-92C2-995D0228DD10}" id="{4DB066D4-CD7D-4232-8E8A-6A71776F2681}">
    <text>y = CAPEX specific (€/kW_th), 
x = size (kW_th)</text>
  </threadedComment>
  <threadedComment ref="V55" dT="2026-01-17T14:48:24.40" personId="{3A570543-CE0C-4FE9-92C2-995D0228DD10}" id="{5648DCB8-A633-40F1-B150-E398F9D04644}">
    <text>Only fuel costs are considered, as all the other O&amp;M costs (except replacements) are considered inside O&amp;M_fix.</text>
  </threadedComment>
  <threadedComment ref="W55" dT="2026-01-17T10:44:27.80" personId="{3A570543-CE0C-4FE9-92C2-995D0228DD10}" id="{33840732-2884-4933-B28A-AA6D7C35743E}">
    <text>More info on separate sheet
(How O&amp;M + Replacement was calc)</text>
  </threadedComment>
  <threadedComment ref="X55" dT="2026-01-17T14:49:49.31" personId="{3A570543-CE0C-4FE9-92C2-995D0228DD10}" id="{9B6FAE54-5ADE-4062-A083-D248F6ACB592}">
    <text xml:space="preserve">Udm: k€/MW_th*y
This is the sum of all O&amp;M costs expect replacements.
</text>
  </threadedComment>
  <threadedComment ref="M56" dT="2025-10-11T09:25:45.21" personId="{3A570543-CE0C-4FE9-92C2-995D0228DD10}" id="{2EAFD766-CAF3-468D-B1F8-255E69BC40BE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N56" dT="2025-10-11T09:25:45.21" personId="{3A570543-CE0C-4FE9-92C2-995D0228DD10}" id="{C92559FD-9DF7-4E3E-8C7E-4AA9F0F7F9F6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P56" dT="2026-01-16T14:13:14.44" personId="{3A570543-CE0C-4FE9-92C2-995D0228DD10}" id="{630CFAB3-24C4-4B3C-BCB2-D2F1830DC880}">
    <text>y = CAPEX specific (€/kW_th), 
x = size (kW_th)</text>
  </threadedComment>
  <threadedComment ref="V56" dT="2026-01-17T14:48:24.40" personId="{3A570543-CE0C-4FE9-92C2-995D0228DD10}" id="{2EC56731-7331-4DCC-AAF0-12E3CA2340CD}">
    <text>Only fuel costs are considered, as all the other O&amp;M costs (except replacements) are considered inside O&amp;M_fix.</text>
  </threadedComment>
  <threadedComment ref="W56" dT="2026-01-17T10:44:27.80" personId="{3A570543-CE0C-4FE9-92C2-995D0228DD10}" id="{B29B369D-4A75-4078-A4F6-45AC51E43CD6}">
    <text>More info on separate sheet
(How O&amp;M + Replacement was calc)</text>
  </threadedComment>
  <threadedComment ref="X56" dT="2026-01-17T14:49:49.31" personId="{3A570543-CE0C-4FE9-92C2-995D0228DD10}" id="{A0827BE4-FF76-4ACB-AC0B-B2EEF7F06197}">
    <text xml:space="preserve">Udm: k€/MW_th*y
This is the sum of all O&amp;M costs expect replacements.
</text>
  </threadedComment>
  <threadedComment ref="M57" dT="2025-10-11T09:25:45.21" personId="{3A570543-CE0C-4FE9-92C2-995D0228DD10}" id="{9EE61704-CC3A-490C-A2D3-CF35CCFEB904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N57" dT="2025-10-11T09:25:45.21" personId="{3A570543-CE0C-4FE9-92C2-995D0228DD10}" id="{81A1DD26-060A-4D7E-8D88-2B79BA2F1A6C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P57" dT="2025-12-10T14:08:29.89" personId="{3A570543-CE0C-4FE9-92C2-995D0228DD10}" id="{F6D8E1C6-FBF1-45C4-A7D6-77118AB996CB}">
    <text>Udm: €/kW_el</text>
  </threadedComment>
  <threadedComment ref="V57" dT="2026-01-17T14:48:24.40" personId="{3A570543-CE0C-4FE9-92C2-995D0228DD10}" id="{F7BD60DF-6461-4A0A-AADB-7CC6D2802DB8}">
    <text>Only fuel costs are considered, as all the other O&amp;M costs (except replacements) are considered inside O&amp;M_fix.</text>
  </threadedComment>
  <threadedComment ref="W57" dT="2026-01-17T10:44:27.80" personId="{3A570543-CE0C-4FE9-92C2-995D0228DD10}" id="{A219B206-EF42-4678-BEDD-C46C80BBD958}">
    <text>More info on separate sheet
(How O&amp;M + Replacement was calc)</text>
  </threadedComment>
  <threadedComment ref="X57" dT="2026-01-17T14:49:49.31" personId="{3A570543-CE0C-4FE9-92C2-995D0228DD10}" id="{9DFFFB6E-38F6-41EB-92F3-C8C8835AA8AD}">
    <text xml:space="preserve">Udm: k€/MW_el*y
This is the sum of all O&amp;M costs expect replacements.
</text>
  </threadedComment>
  <threadedComment ref="P59" dT="2026-01-16T14:13:14.44" personId="{3A570543-CE0C-4FE9-92C2-995D0228DD10}" id="{EA3537DB-F11C-420F-84A7-41843BFD33FE}">
    <text>y = CAPEX specific (€/kW_el), 
x = size (kW_el)</text>
  </threadedComment>
  <threadedComment ref="V59" dT="2026-01-17T14:48:24.40" personId="{3A570543-CE0C-4FE9-92C2-995D0228DD10}" id="{A7628267-A965-4B06-A84A-A627EE8914E8}">
    <text>0.000513 k$/MWh (variable)
0.005 k$/MWh (RTE losses)
-&gt; total 0.004631 €/kWh (o             k€/MWh)</text>
  </threadedComment>
  <threadedComment ref="W59" dT="2026-01-17T10:44:27.80" personId="{3A570543-CE0C-4FE9-92C2-995D0228DD10}" id="{DC9F53ED-3AD0-44EF-9584-BB404541E521}">
    <text>More info on separate sheet
(How O&amp;M + Replacement was calc)</text>
  </threadedComment>
  <threadedComment ref="X59" dT="2026-01-17T14:49:49.31" personId="{3A570543-CE0C-4FE9-92C2-995D0228DD10}" id="{16D89E3C-3FFF-44CC-899F-464AB17140D2}">
    <text xml:space="preserve">Udm: k€/MW_el*y
This is the sum of all O&amp;M costs expect replacements.
</text>
  </threadedComment>
  <threadedComment ref="V60" dT="2026-01-17T14:48:24.40" personId="{3A570543-CE0C-4FE9-92C2-995D0228DD10}" id="{42AE3AB4-525F-4BA8-BB1B-14770D8E3F4E}">
    <text>Only fuel costs are considered, as all the other O&amp;M costs (except replacements) are considered inside O&amp;M_fix.</text>
  </threadedComment>
  <threadedComment ref="W60" dT="2026-01-17T10:44:27.80" personId="{3A570543-CE0C-4FE9-92C2-995D0228DD10}" id="{64819754-8D64-4134-9CC7-75FBDA558017}">
    <text>More info on separate sheet
(How O&amp;M + Replacement was calc)</text>
  </threadedComment>
  <threadedComment ref="X60" dT="2026-01-17T14:49:49.31" personId="{3A570543-CE0C-4FE9-92C2-995D0228DD10}" id="{012E00CC-FDFB-426A-9054-A234CF081847}">
    <text xml:space="preserve">Udm: k€/MWh
This is the sum of all O&amp;M costs expect replacements.
</text>
  </threadedComment>
  <threadedComment ref="V61" dT="2026-01-17T14:48:24.40" personId="{3A570543-CE0C-4FE9-92C2-995D0228DD10}" id="{80ABBF39-2FF3-42DC-A916-D3ECF3EFC945}">
    <text>Only fuel costs are considered, as all the other O&amp;M costs (except replacements) are considered inside O&amp;M_fix.</text>
  </threadedComment>
  <threadedComment ref="W61" dT="2026-01-17T10:44:27.80" personId="{3A570543-CE0C-4FE9-92C2-995D0228DD10}" id="{7D623A98-4FE6-4F1D-9E09-046882F1B375}">
    <text>More info on separate sheet
(How O&amp;M + Replacement was calc)</text>
  </threadedComment>
  <threadedComment ref="X61" dT="2026-01-17T14:49:49.31" personId="{3A570543-CE0C-4FE9-92C2-995D0228DD10}" id="{7C12A1DC-BC7C-47E1-95E7-47DF3081998E}">
    <text xml:space="preserve">Udm: €/kg
This is the sum of all O&amp;M costs expect replacements.
</text>
  </threadedComment>
  <threadedComment ref="V62" dT="2026-01-17T14:48:24.40" personId="{3A570543-CE0C-4FE9-92C2-995D0228DD10}" id="{0F4F81DC-AF20-4858-B515-725A1FBE1D95}">
    <text>Only fuel costs are considered, as all the other O&amp;M costs (except replacements) are considered inside O&amp;M_fix.</text>
  </threadedComment>
  <threadedComment ref="W62" dT="2026-01-17T10:44:27.80" personId="{3A570543-CE0C-4FE9-92C2-995D0228DD10}" id="{6B0BAE31-2919-4778-8467-C8CA2323C335}">
    <text>More info on separate sheet
(How O&amp;M + Replacement was calc)</text>
  </threadedComment>
  <threadedComment ref="X62" dT="2026-01-17T14:49:49.31" personId="{3A570543-CE0C-4FE9-92C2-995D0228DD10}" id="{8E5944BB-5040-4073-B5B3-78EC35F57B76}">
    <text xml:space="preserve">Udm: €/kg
This is the sum of all O&amp;M costs expect replacements.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6-01-16T14:01:27.11" personId="{3A570543-CE0C-4FE9-92C2-995D0228DD10}" id="{3D6D7BA9-3C75-4F0D-A762-19E897657D32}">
    <text>Obtained from eff_el or COP at last column.
The data for the efficiency has been obtained from values in Normalized Maps excel file, which are from real data.</text>
  </threadedComment>
  <threadedComment ref="C3" dT="2025-12-15T09:53:08.04" personId="{3A570543-CE0C-4FE9-92C2-995D0228DD10}" id="{12EEBB76-C6A3-42D2-931A-45D2F827B551}">
    <text>UDM: kW_el</text>
  </threadedComment>
  <threadedComment ref="D3" dT="2025-12-15T09:53:08.04" personId="{3A570543-CE0C-4FE9-92C2-995D0228DD10}" id="{AF19BBC9-B0E9-4CE0-A0A6-E51953CDC968}">
    <text>UDM: kW_LHV (NG)</text>
  </threadedComment>
  <threadedComment ref="K3" dT="2025-10-06T12:47:57.20" personId="{3A570543-CE0C-4FE9-92C2-995D0228DD10}" id="{21C6B519-8CD7-4B25-BE3F-2994B871AE85}">
    <text>5-10 full eletrical output
15 min full heat output</text>
  </threadedComment>
  <threadedComment ref="O3" dT="2025-12-15T17:31:47.67" personId="{3A570543-CE0C-4FE9-92C2-995D0228DD10}" id="{E5705A2E-ED73-46B4-8602-E7D798BB8C71}">
    <text>UDM: €/kW_LHV (NG)</text>
  </threadedComment>
  <threadedComment ref="T3" dT="2025-12-07T10:29:05.17" personId="{3A570543-CE0C-4FE9-92C2-995D0228DD10}" id="{24DDFADE-7214-46BC-97AA-509A74954474}">
    <text>UDM: k€/MWh_el
Price of Natural gas: 67.4 €/MWh</text>
  </threadedComment>
  <threadedComment ref="U3" dT="2025-12-07T10:29:05.17" personId="{3A570543-CE0C-4FE9-92C2-995D0228DD10}" id="{3E1C4C65-33A4-4C89-BA0A-2DDD3F966D3D}">
    <text>UDM: k€/MWh_el</text>
  </threadedComment>
  <threadedComment ref="W3" dT="2025-10-12T08:13:54.40" personId="{3A570543-CE0C-4FE9-92C2-995D0228DD10}" id="{653CF647-1C2D-4A36-96D3-B8B2091BB85A}">
    <text xml:space="preserve">More info on separate sheet (Startup Cost)
</text>
  </threadedComment>
  <threadedComment ref="K4" dT="2025-10-06T12:47:57.20" personId="{3A570543-CE0C-4FE9-92C2-995D0228DD10}" id="{BC77F2B9-AD18-4256-B6E3-5002E79CACF9}">
    <text>5-10 full eletrical output
15 min full heat output</text>
  </threadedComment>
  <threadedComment ref="T4" dT="2025-12-07T10:29:05.17" personId="{3A570543-CE0C-4FE9-92C2-995D0228DD10}" id="{14DC598C-DB07-4335-A179-A1BA20AB12C9}">
    <text>UDM: k€/MWh_el
Price of Natural gas: 67.4 €/MWh</text>
  </threadedComment>
  <threadedComment ref="U4" dT="2025-12-07T10:29:05.17" personId="{3A570543-CE0C-4FE9-92C2-995D0228DD10}" id="{5C500CC8-B19D-42C9-B14E-A32F46400E5A}">
    <text>UDM: k€/MWh_el</text>
  </threadedComment>
  <threadedComment ref="W4" dT="2025-10-12T08:13:54.40" personId="{3A570543-CE0C-4FE9-92C2-995D0228DD10}" id="{97914F8C-5371-4E40-8D53-EC82D337AD09}">
    <text xml:space="preserve">More info on separate sheet (Startup Cost)
</text>
  </threadedComment>
  <threadedComment ref="K5" dT="2025-10-06T12:47:57.20" personId="{3A570543-CE0C-4FE9-92C2-995D0228DD10}" id="{9EEE16D7-8807-4BCC-A906-BEB3368A254F}">
    <text>5-10 full eletrical output
15 min full heat output</text>
  </threadedComment>
  <threadedComment ref="T5" dT="2025-12-07T10:29:05.17" personId="{3A570543-CE0C-4FE9-92C2-995D0228DD10}" id="{901CB679-13D1-4090-8217-A1B6452D1E96}">
    <text>UDM: k€/MWh_el
Price of Natural gas: 67.4 €/MWh</text>
  </threadedComment>
  <threadedComment ref="U5" dT="2025-12-07T10:29:05.17" personId="{3A570543-CE0C-4FE9-92C2-995D0228DD10}" id="{784D650C-5A82-4617-AA0F-E764D814CDF9}">
    <text>UDM: k€/MWh_el</text>
  </threadedComment>
  <threadedComment ref="W5" dT="2025-10-12T08:13:54.40" personId="{3A570543-CE0C-4FE9-92C2-995D0228DD10}" id="{5D9041B4-739D-41F7-899E-F52B76DFC46F}">
    <text xml:space="preserve">More info on separate sheet (Startup Cost)
</text>
  </threadedComment>
  <threadedComment ref="K6" dT="2025-10-06T12:47:57.20" personId="{3A570543-CE0C-4FE9-92C2-995D0228DD10}" id="{4BFBC945-A5F1-4025-9ABD-7C04D45D8085}">
    <text>5-10 full eletrical output
15 min full heat output</text>
  </threadedComment>
  <threadedComment ref="T6" dT="2025-12-07T10:29:05.17" personId="{3A570543-CE0C-4FE9-92C2-995D0228DD10}" id="{D6EB369A-E263-400E-A4A6-587B104BBBDF}">
    <text>UDM: k€/MWh_el
Price of Natural gas: 67.4 €/MWh</text>
  </threadedComment>
  <threadedComment ref="U6" dT="2025-12-07T10:29:05.17" personId="{3A570543-CE0C-4FE9-92C2-995D0228DD10}" id="{7A14CA92-A1CE-4B1B-8D6C-61CD5E011D89}">
    <text>UDM: k€/MWh_el</text>
  </threadedComment>
  <threadedComment ref="W6" dT="2025-10-12T08:13:54.40" personId="{3A570543-CE0C-4FE9-92C2-995D0228DD10}" id="{608C2F48-6205-488C-AA1E-C52CDB46DCC7}">
    <text xml:space="preserve">More info on separate sheet (Startup Cost)
</text>
  </threadedComment>
  <threadedComment ref="K7" dT="2025-10-06T12:47:57.20" personId="{3A570543-CE0C-4FE9-92C2-995D0228DD10}" id="{D3C81FE0-11B7-44B1-A036-8EF202434129}">
    <text>5-10 full eletrical output
15 min full heat output</text>
  </threadedComment>
  <threadedComment ref="T7" dT="2025-12-07T10:29:05.17" personId="{3A570543-CE0C-4FE9-92C2-995D0228DD10}" id="{2176DFBE-D021-4E87-92D2-84AD7DC2E7B4}">
    <text>UDM: k€/MWh_el
Price of Natural gas: 67.4 €/MWh</text>
  </threadedComment>
  <threadedComment ref="U7" dT="2025-12-07T10:29:05.17" personId="{3A570543-CE0C-4FE9-92C2-995D0228DD10}" id="{4E95BC14-B42C-4F78-AFA3-1DA7DDF096F0}">
    <text>UDM: k€/MWh_el</text>
  </threadedComment>
  <threadedComment ref="W7" dT="2025-10-12T08:13:54.40" personId="{3A570543-CE0C-4FE9-92C2-995D0228DD10}" id="{34A55A23-97A2-489F-BBD9-553AE3F9BAD8}">
    <text xml:space="preserve">More info on separate sheet (Startup Cost)
</text>
  </threadedComment>
  <threadedComment ref="K8" dT="2025-10-06T12:47:57.20" personId="{3A570543-CE0C-4FE9-92C2-995D0228DD10}" id="{F82C814B-A150-4F87-A44A-C5A6C4385861}">
    <text>5-10 full eletrical output
15 min full heat output</text>
  </threadedComment>
  <threadedComment ref="T8" dT="2025-12-07T10:29:05.17" personId="{3A570543-CE0C-4FE9-92C2-995D0228DD10}" id="{7A04F593-0CF1-40A1-9E1A-012163CBCEE8}">
    <text>UDM: k€/MWh_el
Price of Natural gas: 67.4 €/MWh</text>
  </threadedComment>
  <threadedComment ref="U8" dT="2025-12-07T10:29:05.17" personId="{3A570543-CE0C-4FE9-92C2-995D0228DD10}" id="{666262D3-D8C8-44A1-BCD3-93452EBC67C9}">
    <text>UDM: k€/MWh_el</text>
  </threadedComment>
  <threadedComment ref="W8" dT="2025-10-12T08:13:54.40" personId="{3A570543-CE0C-4FE9-92C2-995D0228DD10}" id="{4FF5B2A1-D2A0-49C2-9A8D-A7EA70975211}">
    <text xml:space="preserve">More info on separate sheet (Startup Cost)
</text>
  </threadedComment>
  <threadedComment ref="K9" dT="2025-10-06T12:47:57.20" personId="{3A570543-CE0C-4FE9-92C2-995D0228DD10}" id="{1F37897C-E844-442D-823D-F830FBF3F37B}">
    <text>5-10 full eletrical output
15 min full heat output</text>
  </threadedComment>
  <threadedComment ref="T9" dT="2025-12-07T10:29:05.17" personId="{3A570543-CE0C-4FE9-92C2-995D0228DD10}" id="{6E018883-6F18-402A-A6BD-3A403F2E8E6D}">
    <text>UDM: k€/MWh_el
Price of Natural gas: 67.4 €/MWh</text>
  </threadedComment>
  <threadedComment ref="U9" dT="2025-12-07T10:29:05.17" personId="{3A570543-CE0C-4FE9-92C2-995D0228DD10}" id="{FDBAD4C1-F5CA-412D-8EA7-F54C4A017EF0}">
    <text>UDM: k€/MWh_el</text>
  </threadedComment>
  <threadedComment ref="W9" dT="2025-10-12T08:13:54.40" personId="{3A570543-CE0C-4FE9-92C2-995D0228DD10}" id="{F9BB01B6-FF76-4177-A8C4-DA245425FC9C}">
    <text xml:space="preserve">More info on separate sheet (Startup Cost)
</text>
  </threadedComment>
  <threadedComment ref="K10" dT="2025-10-06T12:47:57.20" personId="{3A570543-CE0C-4FE9-92C2-995D0228DD10}" id="{FE4C73A4-E60B-4F23-B0DB-F105A7218524}">
    <text>5-10 full eletrical output
15 min full heat output</text>
  </threadedComment>
  <threadedComment ref="T10" dT="2025-12-07T10:29:05.17" personId="{3A570543-CE0C-4FE9-92C2-995D0228DD10}" id="{81832D93-E541-4A4D-8B96-9B5E5A257F2F}">
    <text>UDM: k€/MWh_el
Price of Natural gas: 67.4 €/MWh</text>
  </threadedComment>
  <threadedComment ref="U10" dT="2025-12-07T10:29:05.17" personId="{3A570543-CE0C-4FE9-92C2-995D0228DD10}" id="{53BA96BB-676C-4B44-8A71-09C29C221D2C}">
    <text>UDM: k€/MWh_el</text>
  </threadedComment>
  <threadedComment ref="W10" dT="2025-10-12T08:13:54.40" personId="{3A570543-CE0C-4FE9-92C2-995D0228DD10}" id="{116D341F-9400-4721-9635-C0AD014AD0DB}">
    <text xml:space="preserve">More info on separate sheet (Startup Cost)
</text>
  </threadedComment>
  <threadedComment ref="K11" dT="2025-10-06T12:47:57.20" personId="{3A570543-CE0C-4FE9-92C2-995D0228DD10}" id="{1811D919-BA3E-4366-8B48-DF6158C46BDC}">
    <text>5-10 full eletrical output
15 min full heat output</text>
  </threadedComment>
  <threadedComment ref="T11" dT="2025-12-07T10:29:05.17" personId="{3A570543-CE0C-4FE9-92C2-995D0228DD10}" id="{C442DAD3-CFF0-4BC5-B6EA-6D626AB804AF}">
    <text>UDM: k€/MWh_el
Price of Natural gas: 67.4 €/MWh</text>
  </threadedComment>
  <threadedComment ref="U11" dT="2025-12-07T10:29:05.17" personId="{3A570543-CE0C-4FE9-92C2-995D0228DD10}" id="{7D39C6DA-BDEA-4190-A798-BC46FEEEA6A9}">
    <text>UDM: k€/MWh_el</text>
  </threadedComment>
  <threadedComment ref="W11" dT="2025-10-12T08:13:54.40" personId="{3A570543-CE0C-4FE9-92C2-995D0228DD10}" id="{37AF9379-31F0-4925-B5E8-3C4152516D73}">
    <text xml:space="preserve">More info on separate sheet (Startup Cost)
</text>
  </threadedComment>
  <threadedComment ref="K12" dT="2025-10-06T12:47:57.20" personId="{3A570543-CE0C-4FE9-92C2-995D0228DD10}" id="{85EAA9A2-3945-40FF-9CCF-9C122AB462A6}">
    <text>5-10 full eletrical output
15 min full heat output</text>
  </threadedComment>
  <threadedComment ref="T12" dT="2025-12-07T10:29:05.17" personId="{3A570543-CE0C-4FE9-92C2-995D0228DD10}" id="{4DD9FE54-2E92-47BC-8FDD-E3DF1E0A8E69}">
    <text>UDM: k€/MWh_el
Price of Natural gas: 67.4 €/MWh</text>
  </threadedComment>
  <threadedComment ref="U12" dT="2025-12-07T10:29:05.17" personId="{3A570543-CE0C-4FE9-92C2-995D0228DD10}" id="{BB0BA6B8-BE50-4125-84EC-7151DFEDC91E}">
    <text>UDM: k€/MWh_el</text>
  </threadedComment>
  <threadedComment ref="W12" dT="2025-10-12T08:13:54.40" personId="{3A570543-CE0C-4FE9-92C2-995D0228DD10}" id="{B4E6F59F-A580-4604-B764-4886D97F283C}">
    <text xml:space="preserve">More info on separate sheet (Startup Cost)
</text>
  </threadedComment>
  <threadedComment ref="K13" dT="2025-10-06T12:47:57.20" personId="{3A570543-CE0C-4FE9-92C2-995D0228DD10}" id="{FF433014-D097-4971-9F12-33C10F065DDC}">
    <text>5-10 full eletrical output
15 min full heat output</text>
  </threadedComment>
  <threadedComment ref="T13" dT="2025-12-07T10:29:05.17" personId="{3A570543-CE0C-4FE9-92C2-995D0228DD10}" id="{31D50866-08BD-4C6A-B9A0-AFFDE56CC97C}">
    <text>UDM: k€/MWh_el
Price of Natural gas: 67.4 €/MWh</text>
  </threadedComment>
  <threadedComment ref="U13" dT="2025-12-07T10:29:05.17" personId="{3A570543-CE0C-4FE9-92C2-995D0228DD10}" id="{48EBB30C-FF86-42E3-8D3A-B84D57D95F5B}">
    <text>UDM: k€/MWh_el</text>
  </threadedComment>
  <threadedComment ref="W13" dT="2025-10-12T08:13:54.40" personId="{3A570543-CE0C-4FE9-92C2-995D0228DD10}" id="{4EA0572F-D701-45B9-8ED1-77C14F72B3CD}">
    <text xml:space="preserve">More info on separate sheet (Startup Cost)
</text>
  </threadedComment>
  <threadedComment ref="C14" dT="2025-12-15T09:53:28.76" personId="{3A570543-CE0C-4FE9-92C2-995D0228DD10}" id="{A76C801E-2470-4661-AC8C-31292801DDE4}">
    <text>UDM: kW_el</text>
  </threadedComment>
  <threadedComment ref="D14" dT="2025-12-15T09:53:08.04" personId="{3A570543-CE0C-4FE9-92C2-995D0228DD10}" id="{926821CD-35DF-4914-9FC0-2BE9CF7E38D1}">
    <text>UDM: kW_LHV (NG)</text>
  </threadedComment>
  <threadedComment ref="N14" dT="2025-12-01T10:09:54.80" personId="{3A570543-CE0C-4FE9-92C2-995D0228DD10}" id="{753927EC-D72B-4340-B7EE-4C4962C247F1}">
    <text>UDM: $/kW_el</text>
  </threadedComment>
  <threadedComment ref="O14" dT="2025-12-01T10:09:54.80" personId="{3A570543-CE0C-4FE9-92C2-995D0228DD10}" id="{BA4FB2BB-D8C2-42DC-9CD2-DE54483C2571}">
    <text>UDM: $/kW_LHV (NG)</text>
  </threadedComment>
  <threadedComment ref="T14" dT="2025-12-01T09:51:17.79" personId="{3A570543-CE0C-4FE9-92C2-995D0228DD10}" id="{4CFF993A-D846-4C38-9836-3E148E676A5D}">
    <text xml:space="preserve">Price of Natural gas: 67.4 €/MWh
(variable cost = fuel cost only)
El. Output point of view
</text>
  </threadedComment>
  <threadedComment ref="V14" dT="2025-12-01T10:09:00.48" personId="{3A570543-CE0C-4FE9-92C2-995D0228DD10}" id="{1AAA60CB-A5C4-464A-85D4-609B706488C7}">
    <text>3.6% of CAPEX</text>
  </threadedComment>
  <threadedComment ref="T15" dT="2025-12-01T09:51:17.79" personId="{3A570543-CE0C-4FE9-92C2-995D0228DD10}" id="{EE75A8A6-CD26-4F1C-BB4C-1676C82875A9}">
    <text xml:space="preserve">Price of Natural gas: 67.4 €/MWh
(variable cost = fuel cost only)
El. Output point of view
</text>
  </threadedComment>
  <threadedComment ref="V15" dT="2025-12-01T10:09:00.48" personId="{3A570543-CE0C-4FE9-92C2-995D0228DD10}" id="{D27E7082-F346-445F-9ACA-45C6013C44DA}">
    <text>3.6% of CAPEX</text>
  </threadedComment>
  <threadedComment ref="T16" dT="2025-12-01T09:51:17.79" personId="{3A570543-CE0C-4FE9-92C2-995D0228DD10}" id="{B80810E1-D7F9-4BD2-A34C-E7F5A4DBAC19}">
    <text xml:space="preserve">Price of Natural gas: 67.4 €/MWh
(variable cost = fuel cost only)
El. Output point of view
</text>
  </threadedComment>
  <threadedComment ref="V16" dT="2025-12-01T10:09:00.48" personId="{3A570543-CE0C-4FE9-92C2-995D0228DD10}" id="{845A7106-D623-49C0-9944-A0BE70E31206}">
    <text>3.6% of CAPEX</text>
  </threadedComment>
  <threadedComment ref="C17" dT="2025-12-15T09:53:28.76" personId="{3A570543-CE0C-4FE9-92C2-995D0228DD10}" id="{1A9BAEEF-A6E7-46E9-964E-9180989A538F}">
    <text>UDM: kW_el</text>
  </threadedComment>
  <threadedComment ref="D17" dT="2025-12-15T09:53:08.04" personId="{3A570543-CE0C-4FE9-92C2-995D0228DD10}" id="{FC9F1DC4-17EC-46CC-AABF-C302720A4114}">
    <text>UDM: kW_LHV (H2)</text>
  </threadedComment>
  <threadedComment ref="N17" dT="2025-12-02T11:05:31.60" personId="{3A570543-CE0C-4FE9-92C2-995D0228DD10}" id="{2B7801A6-FF8D-4F04-87C1-071DDB8BFD46}">
    <text>UDM: €/kW_el</text>
  </threadedComment>
  <threadedComment ref="O17" dT="2025-12-02T11:05:31.60" personId="{3A570543-CE0C-4FE9-92C2-995D0228DD10}" id="{C03FB6A4-79AE-4B05-9CDE-6625D357BB95}">
    <text>UDM: €/kW_LHV (H2)</text>
  </threadedComment>
  <threadedComment ref="T17" dT="2025-10-16T07:29:25.75" personId="{3A570543-CE0C-4FE9-92C2-995D0228DD10}" id="{C45A262B-2246-4393-BDE2-BDC5B530B388}">
    <text>Price of H2 (Italy): 0.296 €/kWh
Efficiency of PEMFC 42% (el)
-&gt; 0.296 k€/MWh / 0.42 = 0.7048€/MWh
(variable cost = fuel cost only)</text>
  </threadedComment>
  <threadedComment ref="T18" dT="2025-10-16T07:29:25.75" personId="{3A570543-CE0C-4FE9-92C2-995D0228DD10}" id="{6CCBF328-FA08-4B4C-A9FB-8DFCFBB3D83D}">
    <text>Price of H2 (Italy): 0.296 €/kWh
Efficiency of PEMFC 45% (el)
-&gt; 0.296 k€/MWh / 0.45 = 0.6513€/MWh
(variable cost = fuel cost only)</text>
  </threadedComment>
  <threadedComment ref="C19" dT="2025-12-15T09:56:13.64" personId="{3A570543-CE0C-4FE9-92C2-995D0228DD10}" id="{8399B7D6-EC33-49D2-A6EE-8F086AF09977}">
    <text>UDM: kW_th</text>
  </threadedComment>
  <threadedComment ref="D19" dT="2025-12-15T09:53:08.04" personId="{3A570543-CE0C-4FE9-92C2-995D0228DD10}" id="{8590B23F-8FC5-4F3D-8C3E-A90FB6E1DB88}">
    <text>UDM: kW_LHV (NG)</text>
  </threadedComment>
  <threadedComment ref="N19" dT="2025-11-22T10:26:19.47" personId="{3A570543-CE0C-4FE9-92C2-995D0228DD10}" id="{699F6457-7CBB-4A72-A0D0-9E1EE53F79EC}">
    <text>€/kW_th per tutta categoria</text>
  </threadedComment>
  <threadedComment ref="O19" dT="2025-11-22T10:26:19.47" personId="{3A570543-CE0C-4FE9-92C2-995D0228DD10}" id="{3E19F538-391B-43FE-9788-EF5C1DF610B8}">
    <text>€/kW_th per tutta categoria</text>
  </threadedComment>
  <threadedComment ref="T19" dT="2025-12-07T10:29:05.17" personId="{3A570543-CE0C-4FE9-92C2-995D0228DD10}" id="{2AC4A3D3-25DD-453E-91EA-9EDD8F6932C6}">
    <text>UDM: k€/MWh_el
Price of Natural gas: 67.4 €/MWh</text>
  </threadedComment>
  <threadedComment ref="V19" dT="2025-11-22T10:25:20.18" personId="{3A570543-CE0C-4FE9-92C2-995D0228DD10}" id="{46089513-E6DC-420A-8A33-7F61D5DF3C9D}">
    <text>3% Capex
Udm: k€/MW_th*y</text>
  </threadedComment>
  <threadedComment ref="W19" dT="2025-10-12T08:13:54.40" personId="{3A570543-CE0C-4FE9-92C2-995D0228DD10}" id="{EFD430E3-791E-476D-B2BE-0D85F18BD769}">
    <text xml:space="preserve">More info on separate sheet (Startup Cost)
</text>
  </threadedComment>
  <threadedComment ref="T20" dT="2025-12-07T10:29:05.17" personId="{3A570543-CE0C-4FE9-92C2-995D0228DD10}" id="{69C46BCB-039A-43B8-BEAE-308337720BEF}">
    <text>UDM: k€/MWh_el
Price of Natural gas: 67.4 €/MWh</text>
  </threadedComment>
  <threadedComment ref="V20" dT="2025-11-22T10:25:20.18" personId="{3A570543-CE0C-4FE9-92C2-995D0228DD10}" id="{45D285E0-4140-4103-8A08-1B1DC2423A07}">
    <text>3% Capex
Udm: k€/MW_th*y</text>
  </threadedComment>
  <threadedComment ref="W20" dT="2025-10-12T08:13:54.40" personId="{3A570543-CE0C-4FE9-92C2-995D0228DD10}" id="{034B1AF4-CB0E-48A7-835C-0D83723CBEEA}">
    <text xml:space="preserve">More info on separate sheet (Startup Cost)
</text>
  </threadedComment>
  <threadedComment ref="T21" dT="2025-12-07T10:29:05.17" personId="{3A570543-CE0C-4FE9-92C2-995D0228DD10}" id="{8DB415DD-8C78-41F3-87E8-AB443B2F78A7}">
    <text>UDM: k€/MWh_el
Price of Natural gas: 67.4 €/MWh</text>
  </threadedComment>
  <threadedComment ref="V21" dT="2025-11-22T10:25:20.18" personId="{3A570543-CE0C-4FE9-92C2-995D0228DD10}" id="{EDA0529E-7F73-41D7-8B24-83B3207F98C9}">
    <text>3% Capex
Udm: k€/MW_th*y</text>
  </threadedComment>
  <threadedComment ref="W21" dT="2025-10-12T08:13:54.40" personId="{3A570543-CE0C-4FE9-92C2-995D0228DD10}" id="{37145580-212F-4CBE-A599-A8F4BD5F3E11}">
    <text xml:space="preserve">More info on separate sheet (Startup Cost)
</text>
  </threadedComment>
  <threadedComment ref="T22" dT="2025-12-07T10:29:05.17" personId="{3A570543-CE0C-4FE9-92C2-995D0228DD10}" id="{202E9A80-05A6-4F5B-854A-3992B8CAEEDB}">
    <text>UDM: k€/MWh_el
Price of Natural gas: 67.4 €/MWh</text>
  </threadedComment>
  <threadedComment ref="V22" dT="2025-11-22T10:25:20.18" personId="{3A570543-CE0C-4FE9-92C2-995D0228DD10}" id="{14EE728D-2982-4503-A13A-F2480C5FAB53}">
    <text>3% Capex
Udm: k€/MW_th*y</text>
  </threadedComment>
  <threadedComment ref="W22" dT="2025-10-12T08:13:54.40" personId="{3A570543-CE0C-4FE9-92C2-995D0228DD10}" id="{024BFEA0-46F7-48A5-9024-CA092E9DF4C8}">
    <text xml:space="preserve">More info on separate sheet (Startup Cost)
</text>
  </threadedComment>
  <threadedComment ref="T23" dT="2025-12-07T10:29:05.17" personId="{3A570543-CE0C-4FE9-92C2-995D0228DD10}" id="{29C55AB2-B80B-4E95-9276-221FA145D436}">
    <text>UDM: k€/MWh_el
Price of Natural gas: 67.4 €/MWh</text>
  </threadedComment>
  <threadedComment ref="V23" dT="2025-11-22T10:25:20.18" personId="{3A570543-CE0C-4FE9-92C2-995D0228DD10}" id="{F9EA31C7-8427-4759-B47A-6044661A24BA}">
    <text>3% Capex
Udm: k€/MW_th*y</text>
  </threadedComment>
  <threadedComment ref="W23" dT="2025-10-12T08:13:54.40" personId="{3A570543-CE0C-4FE9-92C2-995D0228DD10}" id="{7974F667-BB16-4FD3-836E-D54BB76648FF}">
    <text xml:space="preserve">More info on separate sheet (Startup Cost)
</text>
  </threadedComment>
  <threadedComment ref="T24" dT="2025-12-07T10:29:05.17" personId="{3A570543-CE0C-4FE9-92C2-995D0228DD10}" id="{FEDC7192-0D60-40DB-9AF0-AA20C7FB9593}">
    <text>UDM: k€/MWh_el
Price of Natural gas: 67.4 €/MWh</text>
  </threadedComment>
  <threadedComment ref="V24" dT="2025-11-22T10:25:20.18" personId="{3A570543-CE0C-4FE9-92C2-995D0228DD10}" id="{1D61B990-6ED0-4375-9C8F-7835A55888F0}">
    <text>3% Capex
Udm: k€/MW_th*y</text>
  </threadedComment>
  <threadedComment ref="W24" dT="2025-10-12T08:13:54.40" personId="{3A570543-CE0C-4FE9-92C2-995D0228DD10}" id="{5434DCF0-0057-4C30-B81E-5935475E23B5}">
    <text xml:space="preserve">More info on separate sheet (Startup Cost)
</text>
  </threadedComment>
  <threadedComment ref="T25" dT="2025-12-07T10:29:05.17" personId="{3A570543-CE0C-4FE9-92C2-995D0228DD10}" id="{4260110B-4DC7-4724-B6CB-C5F7BE693C4A}">
    <text>UDM: k€/MWh_el
Price of Natural gas: 67.4 €/MWh</text>
  </threadedComment>
  <threadedComment ref="V25" dT="2025-11-22T10:25:20.18" personId="{3A570543-CE0C-4FE9-92C2-995D0228DD10}" id="{9FE8E461-5AE5-4EBA-8E74-8DB3C82200AC}">
    <text>3% Capex
Udm: k€/MW_th*y</text>
  </threadedComment>
  <threadedComment ref="W25" dT="2025-10-12T08:13:54.40" personId="{3A570543-CE0C-4FE9-92C2-995D0228DD10}" id="{36E34398-8933-4D0F-AAD9-EC9D2736514C}">
    <text xml:space="preserve">More info on separate sheet (Startup Cost)
</text>
  </threadedComment>
  <threadedComment ref="T26" dT="2025-12-07T10:29:05.17" personId="{3A570543-CE0C-4FE9-92C2-995D0228DD10}" id="{CC0A5805-F6DA-43D1-8CEA-254FDBC6FAC5}">
    <text>UDM: k€/MWh_el
Price of Natural gas: 67.4 €/MWh</text>
  </threadedComment>
  <threadedComment ref="V26" dT="2025-11-22T10:25:20.18" personId="{3A570543-CE0C-4FE9-92C2-995D0228DD10}" id="{C232AACC-7566-4DBC-8A70-15CC25B38578}">
    <text>3% Capex
Udm: k€/MW_th*y</text>
  </threadedComment>
  <threadedComment ref="W26" dT="2025-10-12T08:13:54.40" personId="{3A570543-CE0C-4FE9-92C2-995D0228DD10}" id="{2A7F72E6-08D4-462F-A415-BE95F5664141}">
    <text xml:space="preserve">More info on separate sheet (Startup Cost)
</text>
  </threadedComment>
  <threadedComment ref="C27" dT="2025-12-15T09:56:08.24" personId="{3A570543-CE0C-4FE9-92C2-995D0228DD10}" id="{63837B55-EFEC-43F9-9518-97C757F02D0E}">
    <text xml:space="preserve">UDM: kW_th
</text>
  </threadedComment>
  <threadedComment ref="D27" dT="2025-12-15T09:56:08.24" personId="{3A570543-CE0C-4FE9-92C2-995D0228DD10}" id="{EBB49CEE-D197-46F8-BB13-7E2E62BDF80B}">
    <text xml:space="preserve">UDM: kW_el (input)
</text>
  </threadedComment>
  <threadedComment ref="N27" dT="2025-11-24T08:17:09.57" personId="{3A570543-CE0C-4FE9-92C2-995D0228DD10}" id="{3BF49932-75F5-465A-A46B-C45C5F0F1827}">
    <text>Udm: €/kW_th</text>
  </threadedComment>
  <threadedComment ref="O27" dT="2025-11-24T08:17:09.57" personId="{3A570543-CE0C-4FE9-92C2-995D0228DD10}" id="{158170AA-0ACE-4175-B79D-DE33D58945DA}">
    <text>Udm: €/kW_th</text>
  </threadedComment>
  <threadedComment ref="T27" dT="2025-10-19T10:27:00.29" personId="{3A570543-CE0C-4FE9-92C2-995D0228DD10}" id="{3A37DB85-6D3A-4258-B153-514EBD43E2E5}">
    <text>Residential Electricity cost = 0.2872 €/kWh (from [122])
Industril Electricity cost = 0.1899€/kWh (from [122])
For this size: Residential</text>
  </threadedComment>
  <threadedComment ref="V27" dT="2025-11-24T08:16:54.02" personId="{3A570543-CE0C-4FE9-92C2-995D0228DD10}" id="{C1B27D58-0457-4BBB-B970-4F107FB8905A}">
    <text>Udm: k€/MW_th*y
1.5% Capex, min 350€</text>
  </threadedComment>
  <threadedComment ref="AC27" dT="2025-12-16T08:48:01.93" personId="{3A570543-CE0C-4FE9-92C2-995D0228DD10}" id="{4DFB0D01-A2A8-40B8-91E7-D8AD1BA7F8CE}">
    <text>COP</text>
  </threadedComment>
  <threadedComment ref="T28" dT="2025-10-19T10:27:00.29" personId="{3A570543-CE0C-4FE9-92C2-995D0228DD10}" id="{A132E655-C99B-4293-99E7-19474D33943A}">
    <text>Residential Electricity cost = 0.2872 €/kWh (from [122])
Industril Electricity cost = 0.1899€/kWh (from [122])
For this size: Residential</text>
  </threadedComment>
  <threadedComment ref="T29" dT="2025-10-19T10:27:00.29" personId="{3A570543-CE0C-4FE9-92C2-995D0228DD10}" id="{B7DDC8BB-473C-4804-94CA-7ED1BAE0C559}">
    <text>Residential Electricity cost = 0.2872 €/kWh (from [122])
Industril Electricity cost = 0.1899€/kWh (from [122])
For this size: Residential</text>
  </threadedComment>
  <threadedComment ref="T30" dT="2025-10-19T10:27:00.29" personId="{3A570543-CE0C-4FE9-92C2-995D0228DD10}" id="{39775483-4F8B-4549-B5E1-2C4CA15983F4}">
    <text>Residential Electricity cost = 0.2872 €/kWh (from [122])
Industril Electricity cost = 0.1899€/kWh (from [122])
For this size: Industrial</text>
  </threadedComment>
  <threadedComment ref="T31" dT="2025-10-19T10:27:00.29" personId="{3A570543-CE0C-4FE9-92C2-995D0228DD10}" id="{96375E32-7E7E-45C8-BB47-316FAE5D20FF}">
    <text>Residential Electricity cost = 0.2872 €/kWh (from [122])
Industril Electricity cost = 0.1899€/kWh (from [122])
For this size: Industrial</text>
  </threadedComment>
  <threadedComment ref="T32" dT="2025-10-19T10:27:00.29" personId="{3A570543-CE0C-4FE9-92C2-995D0228DD10}" id="{F50FC354-75D2-4DE8-91EE-C361E8122C3C}">
    <text>Residential Electricity cost = 0.2872 €/kWh (from [122])
Industril Electricity cost = 0.1899€/kWh (from [122])
For this size: Industrial</text>
  </threadedComment>
  <threadedComment ref="T33" dT="2025-10-19T10:27:00.29" personId="{3A570543-CE0C-4FE9-92C2-995D0228DD10}" id="{D3F5AA25-88F3-418C-A744-7501CD410EFF}">
    <text>Residential Electricity cost = 0.2872 €/kWh (from [122])
Industril Electricity cost = 0.1899€/kWh (from [122])
For this size: Industrial</text>
  </threadedComment>
  <threadedComment ref="T34" dT="2025-10-19T10:27:00.29" personId="{3A570543-CE0C-4FE9-92C2-995D0228DD10}" id="{424EAEA2-AB4E-4AD6-87A9-02584A1A7956}">
    <text>Residential Electricity cost = 0.2872 €/kWh (from [122])
Industril Electricity cost = 0.1899€/kWh (from [122])
For this size: Industrial</text>
  </threadedComment>
  <threadedComment ref="T35" dT="2025-10-19T10:27:00.29" personId="{3A570543-CE0C-4FE9-92C2-995D0228DD10}" id="{FBA15255-47A1-4ADC-B035-D5543FF0175A}">
    <text>Residential Electricity cost = 0.2872 €/kWh (from [122])
Industril Electricity cost = 0.1899€/kWh (from [122])
For this size: Industrial</text>
  </threadedComment>
  <threadedComment ref="N36" dT="2025-11-24T08:17:09.57" personId="{3A570543-CE0C-4FE9-92C2-995D0228DD10}" id="{EB353867-AB75-45B0-A251-584D5E620C35}">
    <text>Udm: €/kW_th</text>
  </threadedComment>
  <threadedComment ref="O36" dT="2025-11-24T08:17:09.57" personId="{3A570543-CE0C-4FE9-92C2-995D0228DD10}" id="{E465EC87-04EA-48E9-8B91-04E1B326568D}">
    <text>Udm: €/kW_th</text>
  </threadedComment>
  <threadedComment ref="T36" dT="2025-10-19T10:27:00.29" personId="{3A570543-CE0C-4FE9-92C2-995D0228DD10}" id="{94981713-9EE6-46C1-8DA4-910D8F2E6D07}">
    <text>Residential Electricity cost = 0.2872 €/kWh (from [122])
Industril Electricity cost = 0.1899€/kWh (from [122])
For this size: Industrial</text>
  </threadedComment>
  <threadedComment ref="V36" dT="2025-11-24T08:16:54.02" personId="{3A570543-CE0C-4FE9-92C2-995D0228DD10}" id="{608F6BE3-7D08-436B-811C-3C1EC0614732}">
    <text>Udm: k€/MW_th*y
2.5% Capex</text>
  </threadedComment>
  <threadedComment ref="T37" dT="2025-10-19T10:27:00.29" personId="{3A570543-CE0C-4FE9-92C2-995D0228DD10}" id="{F174CDD3-03F9-4878-8BB5-9B8601FF98B8}">
    <text>Residential Electricity cost = 0.2872 €/kWh (from [122])
Industril Electricity cost = 0.1899€/kWh (from [122])
For this size: Industrial</text>
  </threadedComment>
  <threadedComment ref="T38" dT="2025-10-19T10:27:00.29" personId="{3A570543-CE0C-4FE9-92C2-995D0228DD10}" id="{59CA68DC-3B79-4391-8BB2-E61C1783D8DF}">
    <text>Residential Electricity cost = 0.2872 €/kWh (from [122])
Industril Electricity cost = 0.1899€/kWh (from [122])
For this size: Industrial</text>
  </threadedComment>
  <threadedComment ref="T39" dT="2025-10-19T10:27:00.29" personId="{3A570543-CE0C-4FE9-92C2-995D0228DD10}" id="{8208D1BD-D002-4E3D-83B9-3C9B92FF42EA}">
    <text>Residential Electricity cost = 0.2872 €/kWh (from [122])
Industril Electricity cost = 0.1899€/kWh (from [122])
For this size: Industrial</text>
  </threadedComment>
  <threadedComment ref="T40" dT="2025-10-19T10:27:00.29" personId="{3A570543-CE0C-4FE9-92C2-995D0228DD10}" id="{E4B5ECD8-1A7E-4D99-8D0D-EFFFEC110F9A}">
    <text>Residential Electricity cost = 0.2872 €/kWh (from [122])
Industril Electricity cost = 0.1899€/kWh (from [122])
For this size: Industrial</text>
  </threadedComment>
  <threadedComment ref="T41" dT="2025-10-19T10:27:00.29" personId="{3A570543-CE0C-4FE9-92C2-995D0228DD10}" id="{B276B462-5F4A-40B3-8F73-7AC93EB86994}">
    <text>Residential Electricity cost = 0.2872 €/kWh (from [122])
Industril Electricity cost = 0.1899€/kWh (from [122])
For this size: Industrial</text>
  </threadedComment>
  <threadedComment ref="C42" dT="2025-12-15T09:56:08.24" personId="{3A570543-CE0C-4FE9-92C2-995D0228DD10}" id="{6C33FEBB-4EAD-4F8F-84F7-9E3AE7495CB7}">
    <text xml:space="preserve">UDM: kW_th_cooling
</text>
  </threadedComment>
  <threadedComment ref="D42" dT="2025-12-15T09:56:08.24" personId="{3A570543-CE0C-4FE9-92C2-995D0228DD10}" id="{0B148349-55E5-4D76-AF24-AA12C6AE670C}">
    <text xml:space="preserve">UDM: kW_el (input)
</text>
  </threadedComment>
  <threadedComment ref="N42" dT="2025-11-24T08:17:09.57" personId="{3A570543-CE0C-4FE9-92C2-995D0228DD10}" id="{5ECF6FC1-6FA5-4104-8254-C03A28C0C824}">
    <text>Udm: €/kW_th</text>
  </threadedComment>
  <threadedComment ref="O42" dT="2025-11-24T08:17:09.57" personId="{3A570543-CE0C-4FE9-92C2-995D0228DD10}" id="{40CDB41C-6C38-4E03-9877-D2C9A628B49A}">
    <text>Udm: €/kW_th</text>
  </threadedComment>
  <threadedComment ref="V42" dT="2025-11-24T08:16:54.02" personId="{3A570543-CE0C-4FE9-92C2-995D0228DD10}" id="{8BC46D78-8D17-459A-B954-7F5E14442C86}">
    <text>Udm: k€/MW_th*y
1.5% Capex, min 350€</text>
  </threadedComment>
  <threadedComment ref="AC42" dT="2025-12-16T08:48:01.93" personId="{3A570543-CE0C-4FE9-92C2-995D0228DD10}" id="{F2716D50-0F69-4C04-AB53-29D159ABF155}">
    <text>EER</text>
  </threadedComment>
  <threadedComment ref="N51" dT="2025-11-24T08:17:09.57" personId="{3A570543-CE0C-4FE9-92C2-995D0228DD10}" id="{0DCAA262-FF4A-4FE8-BE3C-89F5FEB0EACD}">
    <text>Udm: €/kW_th</text>
  </threadedComment>
  <threadedComment ref="O51" dT="2025-11-24T08:17:09.57" personId="{3A570543-CE0C-4FE9-92C2-995D0228DD10}" id="{101DE8A5-9C70-43E3-B35E-4EEA0998196D}">
    <text>Udm: €/kW_th</text>
  </threadedComment>
  <threadedComment ref="V51" dT="2025-11-24T08:16:54.02" personId="{3A570543-CE0C-4FE9-92C2-995D0228DD10}" id="{C0FC23ED-EEE9-421F-A852-D9F5EBCD2575}">
    <text>Udm: k€/MW_th*y
2.5% Capex</text>
  </threadedComment>
  <threadedComment ref="C57" dT="2025-12-15T09:56:08.24" personId="{3A570543-CE0C-4FE9-92C2-995D0228DD10}" id="{9095187D-57FC-4FAF-86EF-74013E7B5EE6}">
    <text xml:space="preserve">UDM: kW_th
</text>
  </threadedComment>
  <threadedComment ref="D57" dT="2025-12-15T09:56:08.24" personId="{3A570543-CE0C-4FE9-92C2-995D0228DD10}" id="{91430351-0052-446A-A610-8F9A7F6CD5FA}">
    <text xml:space="preserve">UDM: kW_el (input)
</text>
  </threadedComment>
  <threadedComment ref="T57" dT="2025-10-19T10:27:00.29" personId="{3A570543-CE0C-4FE9-92C2-995D0228DD10}" id="{7727034E-ECD2-43C7-84B8-72744C227047}">
    <text>Residential Electricity cost = 0.2872 €/kWh (from [122])
Industril Electricity cost = 0.1899€/kWh (from [122])
For this size: Industrial</text>
  </threadedComment>
  <threadedComment ref="AC57" dT="2025-12-16T08:48:01.93" personId="{3A570543-CE0C-4FE9-92C2-995D0228DD10}" id="{9A57853D-854B-4C93-AB13-AACA2F8707E0}">
    <text>COP</text>
  </threadedComment>
  <threadedComment ref="T58" dT="2025-10-19T10:27:00.29" personId="{3A570543-CE0C-4FE9-92C2-995D0228DD10}" id="{911CEF34-48BB-4DCF-85AA-925568C0E755}">
    <text>Residential Electricity cost = 0.2872 €/kWh (from [122])
Industril Electricity cost = 0.1899€/kWh (from [122])
For this size: Industrial</text>
  </threadedComment>
  <threadedComment ref="T59" dT="2025-10-19T10:27:00.29" personId="{3A570543-CE0C-4FE9-92C2-995D0228DD10}" id="{5ACE4389-9E1F-47D8-A645-BD49F6B7A063}">
    <text>Residential Electricity cost = 0.2872 €/kWh (from [122])
Industril Electricity cost = 0.1899€/kWh (from [122])
For this size: Industrial</text>
  </threadedComment>
  <threadedComment ref="T60" dT="2025-10-19T10:27:00.29" personId="{3A570543-CE0C-4FE9-92C2-995D0228DD10}" id="{202E2A34-D7CF-489F-B041-6B8DC4AC5A8D}">
    <text>Residential Electricity cost = 0.2872 €/kWh (from [122])
Industril Electricity cost = 0.1899€/kWh (from [122])
For this size: Industrial</text>
  </threadedComment>
  <threadedComment ref="T61" dT="2025-10-19T10:27:00.29" personId="{3A570543-CE0C-4FE9-92C2-995D0228DD10}" id="{1E7BD1AC-F7F0-4A90-9B82-85F1052D08C0}">
    <text>Residential Electricity cost = 0.2872 €/kWh (from [122])
Industril Electricity cost = 0.1899€/kWh (from [122])
For this size: Industrial</text>
  </threadedComment>
  <threadedComment ref="T62" dT="2025-10-19T10:27:00.29" personId="{3A570543-CE0C-4FE9-92C2-995D0228DD10}" id="{32BE87E6-585C-4632-913A-531996483795}">
    <text>Residential Electricity cost = 0.2872 €/kWh (from [122])
Industril Electricity cost = 0.1899€/kWh (from [122])
For this size: Industrial</text>
  </threadedComment>
  <threadedComment ref="C63" dT="2025-12-15T09:56:08.24" personId="{3A570543-CE0C-4FE9-92C2-995D0228DD10}" id="{E99F47DE-6FDF-4B87-9421-55009F55A35E}">
    <text xml:space="preserve">UDM: kW_th
</text>
  </threadedComment>
  <threadedComment ref="D63" dT="2025-12-15T09:56:08.24" personId="{3A570543-CE0C-4FE9-92C2-995D0228DD10}" id="{2BBFCD5D-A5D6-4C57-9B8B-272068A972D0}">
    <text xml:space="preserve">UDM: kW_el (input)
</text>
  </threadedComment>
  <threadedComment ref="AC63" dT="2025-12-16T08:48:01.93" personId="{3A570543-CE0C-4FE9-92C2-995D0228DD10}" id="{6C0415FA-AA23-4AE2-B984-ECB1557274F6}">
    <text>EER</text>
  </threadedComment>
  <threadedComment ref="C69" dT="2025-12-15T09:56:08.24" personId="{3A570543-CE0C-4FE9-92C2-995D0228DD10}" id="{6BF6559E-5D05-40D0-9913-9821C440A9FA}">
    <text xml:space="preserve">UDM: kW_th
</text>
  </threadedComment>
  <threadedComment ref="D69" dT="2025-12-15T09:56:08.24" personId="{3A570543-CE0C-4FE9-92C2-995D0228DD10}" id="{67EA0EE3-C87E-4483-81AD-E60E2129CC6D}">
    <text xml:space="preserve">UDM: kW_el (input)
</text>
  </threadedComment>
  <threadedComment ref="T69" dT="2025-10-19T10:27:00.29" personId="{3A570543-CE0C-4FE9-92C2-995D0228DD10}" id="{47F9AB6C-95B5-45E6-B8C0-2A55D38D87CA}">
    <text>Residential Electricity cost = 0.2872 €/kWh (from [122])
Industril Electricity cost = 0.1899€/kWh (from [122])
For this size: Residential</text>
  </threadedComment>
  <threadedComment ref="V69" dT="2025-11-24T08:16:54.02" personId="{3A570543-CE0C-4FE9-92C2-995D0228DD10}" id="{F46FF817-DE09-45F1-BF1E-5433E6D5BB91}">
    <text>Udm: k€/MW_th*y
1.5% Capex, min 350€</text>
  </threadedComment>
  <threadedComment ref="AC69" dT="2026-01-20T09:06:07.09" personId="{3A570543-CE0C-4FE9-92C2-995D0228DD10}" id="{0A27ED5D-AF1A-44B4-82DB-A8357A7D2BA2}">
    <text>COP</text>
  </threadedComment>
  <threadedComment ref="T70" dT="2025-10-19T10:27:00.29" personId="{3A570543-CE0C-4FE9-92C2-995D0228DD10}" id="{D4779328-D731-4282-B88D-F1D23699C089}">
    <text>Residential Electricity cost = 0.2872 €/kWh (from [122])
Industril Electricity cost = 0.1899€/kWh (from [122])
For this size: Residential</text>
  </threadedComment>
  <threadedComment ref="T71" dT="2025-10-19T10:27:00.29" personId="{3A570543-CE0C-4FE9-92C2-995D0228DD10}" id="{ABF72B6E-BDDD-4107-85E3-B8C628C00C38}">
    <text>Residential Electricity cost = 0.2872 €/kWh (from [122])
Industril Electricity cost = 0.1899€/kWh (from [122])
For this size: Residential</text>
  </threadedComment>
  <threadedComment ref="T72" dT="2025-10-19T10:27:00.29" personId="{3A570543-CE0C-4FE9-92C2-995D0228DD10}" id="{2C87CE61-DF9C-4044-B71F-BAAD5275DE52}">
    <text>Residential Electricity cost = 0.2872 €/kWh (from [122])
Industril Electricity cost = 0.1899€/kWh (from [122])
For this size: Industrial</text>
  </threadedComment>
  <threadedComment ref="T73" dT="2025-10-19T10:27:00.29" personId="{3A570543-CE0C-4FE9-92C2-995D0228DD10}" id="{D3398B9C-E631-4CF1-BC47-EE397995F205}">
    <text>Residential Electricity cost = 0.2872 €/kWh (from [122])
Industril Electricity cost = 0.1899€/kWh (from [122])
For this size: Industrial</text>
  </threadedComment>
  <threadedComment ref="T74" dT="2025-10-19T10:27:00.29" personId="{3A570543-CE0C-4FE9-92C2-995D0228DD10}" id="{EC01629C-BFFD-41AB-A2A3-4986A084355B}">
    <text>Residential Electricity cost = 0.2872 €/kWh (from [122])
Industril Electricity cost = 0.1899€/kWh (from [122])
For this size: Industrial</text>
  </threadedComment>
  <threadedComment ref="T75" dT="2025-10-19T10:27:00.29" personId="{3A570543-CE0C-4FE9-92C2-995D0228DD10}" id="{03D0213C-25A6-4F61-9B62-B9DAF274D77B}">
    <text>Residential Electricity cost = 0.2872 €/kWh (from [122])
Industril Electricity cost = 0.1899€/kWh (from [122])
For this size: Industrial</text>
  </threadedComment>
  <threadedComment ref="T76" dT="2025-10-19T10:27:00.29" personId="{3A570543-CE0C-4FE9-92C2-995D0228DD10}" id="{1E73A8CB-B5BD-40EA-9BC8-2385919844E2}">
    <text>Residential Electricity cost = 0.2872 €/kWh (from [122])
Industril Electricity cost = 0.1899€/kWh (from [122])
For this size: Industrial</text>
  </threadedComment>
  <threadedComment ref="T77" dT="2025-10-19T10:27:00.29" personId="{3A570543-CE0C-4FE9-92C2-995D0228DD10}" id="{14CE625D-E963-426C-A085-FFAFDB6120E5}">
    <text>Residential Electricity cost = 0.2872 €/kWh (from [122])
Industril Electricity cost = 0.1899€/kWh (from [122])
For this size: Industrial</text>
  </threadedComment>
  <threadedComment ref="T78" dT="2025-10-19T10:27:00.29" personId="{3A570543-CE0C-4FE9-92C2-995D0228DD10}" id="{BB45F921-7735-475B-9294-F8C92F9E004B}">
    <text>Residential Electricity cost = 0.2872 €/kWh (from [122])
Industril Electricity cost = 0.1899€/kWh (from [122])
For this size: Industrial</text>
  </threadedComment>
  <threadedComment ref="T79" dT="2025-10-19T10:27:00.29" personId="{3A570543-CE0C-4FE9-92C2-995D0228DD10}" id="{4744A401-9E67-4A9D-8E9F-DE4307FBF3F5}">
    <text>Residential Electricity cost = 0.2872 €/kWh (from [122])
Industril Electricity cost = 0.1899€/kWh (from [122])
For this size: Industrial</text>
  </threadedComment>
  <threadedComment ref="T80" dT="2025-10-19T10:27:00.29" personId="{3A570543-CE0C-4FE9-92C2-995D0228DD10}" id="{B5842FA3-1C40-47BC-9BAA-3E4A4C83C7CE}">
    <text>Residential Electricity cost = 0.2872 €/kWh (from [122])
Industril Electricity cost = 0.1899€/kWh (from [122])
For this size: Industrial</text>
  </threadedComment>
  <threadedComment ref="C81" dT="2025-12-15T09:56:08.24" personId="{3A570543-CE0C-4FE9-92C2-995D0228DD10}" id="{69FA9DAD-35FD-4EEC-BC32-EFF9F330EEC6}">
    <text xml:space="preserve">UDM: kW_th_cooling
</text>
  </threadedComment>
  <threadedComment ref="D81" dT="2025-12-15T09:56:08.24" personId="{3A570543-CE0C-4FE9-92C2-995D0228DD10}" id="{E082F065-10E3-4646-B63F-038842062F42}">
    <text xml:space="preserve">UDM: kW_el (input)
</text>
  </threadedComment>
  <threadedComment ref="V81" dT="2025-11-24T08:16:54.02" personId="{3A570543-CE0C-4FE9-92C2-995D0228DD10}" id="{8A180C24-C20F-43CD-B145-B4BED1189D80}">
    <text>Udm: k€/MW_th*y
1.5% Capex, min 350€</text>
  </threadedComment>
  <threadedComment ref="AC81" dT="2026-01-20T09:11:22.82" personId="{3A570543-CE0C-4FE9-92C2-995D0228DD10}" id="{BE7CB362-0E25-48DF-BFDE-4A3185EF5EED}">
    <text>EER</text>
  </threadedComment>
  <threadedComment ref="C93" dT="2025-12-15T09:56:08.24" personId="{3A570543-CE0C-4FE9-92C2-995D0228DD10}" id="{E5CFE474-BDBB-4204-ADAC-3DADC6F7613B}">
    <text xml:space="preserve">UDM: kW_th
</text>
  </threadedComment>
  <threadedComment ref="D93" dT="2025-12-15T09:56:08.24" personId="{3A570543-CE0C-4FE9-92C2-995D0228DD10}" id="{856468AB-EB08-436B-9C6B-4B948F2D7E34}">
    <text xml:space="preserve">UDM: kW_el (input)
</text>
  </threadedComment>
  <threadedComment ref="T93" dT="2025-10-19T10:27:00.29" personId="{3A570543-CE0C-4FE9-92C2-995D0228DD10}" id="{C1486A43-4628-40B9-B781-B651C488DF14}">
    <text>Residential Electricity cost = 0.2872 €/kWh (from [122])
Industril Electricity cost = 0.1899€/kWh (from [122])
For this size: Residential</text>
  </threadedComment>
  <threadedComment ref="V93" dT="2025-11-24T08:16:54.02" personId="{3A570543-CE0C-4FE9-92C2-995D0228DD10}" id="{66FDB224-CC91-4D36-A760-4A0EF6C33959}">
    <text>Udm: k€/MW_th*y
1.5% Capex, min 350€</text>
  </threadedComment>
  <threadedComment ref="AC93" dT="2026-01-20T09:06:28.30" personId="{3A570543-CE0C-4FE9-92C2-995D0228DD10}" id="{0D1E243E-4D1B-44C2-8F71-788A09525047}">
    <text>COP</text>
  </threadedComment>
  <threadedComment ref="T94" dT="2025-10-19T10:27:00.29" personId="{3A570543-CE0C-4FE9-92C2-995D0228DD10}" id="{847F5FE0-C8F2-4A49-A3FC-8C9D191EBCF6}">
    <text>Residential Electricity cost = 0.2872 €/kWh (from [122])
Industril Electricity cost = 0.1899€/kWh (from [122])
For this size: Residential</text>
  </threadedComment>
  <threadedComment ref="T95" dT="2025-10-19T10:27:00.29" personId="{3A570543-CE0C-4FE9-92C2-995D0228DD10}" id="{97021648-BDCC-4020-8F71-67A5285A8247}">
    <text>Residential Electricity cost = 0.2872 €/kWh (from [122])
Industril Electricity cost = 0.1899€/kWh (from [122])
For this size: Residential</text>
  </threadedComment>
  <threadedComment ref="T96" dT="2025-10-19T10:27:00.29" personId="{3A570543-CE0C-4FE9-92C2-995D0228DD10}" id="{BC080D1A-7FF5-4893-A7D8-36A6B79A86C1}">
    <text>Residential Electricity cost = 0.2872 €/kWh (from [122])
Industril Electricity cost = 0.1899€/kWh (from [122])
For this size: Industrial</text>
  </threadedComment>
  <threadedComment ref="T97" dT="2025-10-19T10:27:00.29" personId="{3A570543-CE0C-4FE9-92C2-995D0228DD10}" id="{12AC1359-E51F-4D4C-A633-F2986E8CE0DE}">
    <text>Residential Electricity cost = 0.2872 €/kWh (from [122])
Industril Electricity cost = 0.1899€/kWh (from [122])
For this size: Industrial</text>
  </threadedComment>
  <threadedComment ref="T98" dT="2025-10-19T10:27:00.29" personId="{3A570543-CE0C-4FE9-92C2-995D0228DD10}" id="{9C2FA591-D1AD-4914-B62E-42EB0DF2CE0E}">
    <text>Residential Electricity cost = 0.2872 €/kWh (from [122])
Industril Electricity cost = 0.1899€/kWh (from [122])
For this size: Industrial</text>
  </threadedComment>
  <threadedComment ref="T99" dT="2025-10-19T10:27:00.29" personId="{3A570543-CE0C-4FE9-92C2-995D0228DD10}" id="{1D4AA305-6862-412D-8496-782778B2C15B}">
    <text>Residential Electricity cost = 0.2872 €/kWh (from [122])
Industril Electricity cost = 0.1899€/kWh (from [122])
For this size: Industrial</text>
  </threadedComment>
  <threadedComment ref="T100" dT="2025-10-19T10:27:00.29" personId="{3A570543-CE0C-4FE9-92C2-995D0228DD10}" id="{6D1BA859-29BD-4620-9AD7-A46E3AD1F3AA}">
    <text>Residential Electricity cost = 0.2872 €/kWh (from [122])
Industril Electricity cost = 0.1899€/kWh (from [122])
For this size: Industrial</text>
  </threadedComment>
  <threadedComment ref="T101" dT="2025-10-19T10:27:00.29" personId="{3A570543-CE0C-4FE9-92C2-995D0228DD10}" id="{A6D902D6-1A32-40C3-80DE-FFC71497906B}">
    <text>Residential Electricity cost = 0.2872 €/kWh (from [122])
Industril Electricity cost = 0.1899€/kWh (from [122])
For this size: Industrial</text>
  </threadedComment>
  <threadedComment ref="T102" dT="2025-10-19T10:27:00.29" personId="{3A570543-CE0C-4FE9-92C2-995D0228DD10}" id="{36F6EC97-5A5E-49FD-8BA4-2A33A2394717}">
    <text>Residential Electricity cost = 0.2872 €/kWh (from [122])
Industril Electricity cost = 0.1899€/kWh (from [122])
For this size: Industrial</text>
  </threadedComment>
  <threadedComment ref="T103" dT="2025-10-19T10:27:00.29" personId="{3A570543-CE0C-4FE9-92C2-995D0228DD10}" id="{121D5B8C-B3F9-4BE5-9B0B-3E1BC4AF2797}">
    <text>Residential Electricity cost = 0.2872 €/kWh (from [122])
Industril Electricity cost = 0.1899€/kWh (from [122])
For this size: Industrial</text>
  </threadedComment>
  <threadedComment ref="T104" dT="2025-10-19T10:27:00.29" personId="{3A570543-CE0C-4FE9-92C2-995D0228DD10}" id="{5AEA0D73-6128-4A8F-86E4-E6C3E73EB2A5}">
    <text>Residential Electricity cost = 0.2872 €/kWh (from [122])
Industril Electricity cost = 0.1899€/kWh (from [122])
For this size: Industrial</text>
  </threadedComment>
  <threadedComment ref="C105" dT="2025-12-15T09:56:08.24" personId="{3A570543-CE0C-4FE9-92C2-995D0228DD10}" id="{3FA08F25-E05C-4CFA-A5D0-D7DC293F475B}">
    <text xml:space="preserve">UDM: kW_th_cooling
</text>
  </threadedComment>
  <threadedComment ref="D105" dT="2025-12-15T09:56:08.24" personId="{3A570543-CE0C-4FE9-92C2-995D0228DD10}" id="{D6EFA72D-27FB-478F-B803-3B6AFDCEC06E}">
    <text xml:space="preserve">UDM: kW_el (input)
</text>
  </threadedComment>
  <threadedComment ref="V105" dT="2025-11-24T08:16:54.02" personId="{3A570543-CE0C-4FE9-92C2-995D0228DD10}" id="{EF39D661-3EF5-4782-B655-311AB9BBF6D3}">
    <text>Udm: k€/MW_th*y
1.5% Capex, min 350€</text>
  </threadedComment>
  <threadedComment ref="AC105" dT="2026-01-20T09:11:22.82" personId="{3A570543-CE0C-4FE9-92C2-995D0228DD10}" id="{460DB407-9338-4252-8D82-504956B50AF7}">
    <text>EER</text>
  </threadedComment>
  <threadedComment ref="C117" dT="2025-12-15T09:56:08.24" personId="{3A570543-CE0C-4FE9-92C2-995D0228DD10}" id="{E9C3360F-9E62-4A74-B6B2-F3EF33A20054}">
    <text xml:space="preserve">UDM: kW_th
</text>
  </threadedComment>
  <threadedComment ref="D117" dT="2025-12-15T09:56:08.24" personId="{3A570543-CE0C-4FE9-92C2-995D0228DD10}" id="{F37697FA-1B83-4250-BEA4-9D98EF429960}">
    <text xml:space="preserve">UDM: kW_el (input)
</text>
  </threadedComment>
  <threadedComment ref="T117" dT="2025-10-19T10:27:00.29" personId="{3A570543-CE0C-4FE9-92C2-995D0228DD10}" id="{BA6069E9-6AB1-479E-846A-1C0263FE91DD}">
    <text>Residential Electricity cost = 0.2872 €/kWh (from [122])
Industril Electricity cost = 0.1899€/kWh (from [122])
For this size: Residential</text>
  </threadedComment>
  <threadedComment ref="V117" dT="2025-11-24T08:16:54.02" personId="{3A570543-CE0C-4FE9-92C2-995D0228DD10}" id="{B02C1074-0DDA-4BC7-862D-66F8D523F7BD}">
    <text>Udm: k€/MW_th*y
1.5% Capex, min 350€</text>
  </threadedComment>
  <threadedComment ref="T118" dT="2025-10-19T10:27:00.29" personId="{3A570543-CE0C-4FE9-92C2-995D0228DD10}" id="{0BCD06CA-78B8-47B3-A477-F7145AE1C643}">
    <text>Residential Electricity cost = 0.2872 €/kWh (from [122])
Industril Electricity cost = 0.1899€/kWh (from [122])
For this size: Residential</text>
  </threadedComment>
  <threadedComment ref="T119" dT="2025-10-19T10:27:00.29" personId="{3A570543-CE0C-4FE9-92C2-995D0228DD10}" id="{4D724766-097D-4C17-A5FF-0C8078CA5AFD}">
    <text>Residential Electricity cost = 0.2872 €/kWh (from [122])
Industril Electricity cost = 0.1899€/kWh (from [122])
For this size: Residential</text>
  </threadedComment>
  <threadedComment ref="T120" dT="2025-10-19T10:27:00.29" personId="{3A570543-CE0C-4FE9-92C2-995D0228DD10}" id="{67E094CA-732D-4A7B-B26B-9875115A16EC}">
    <text>Residential Electricity cost = 0.2872 €/kWh (from [122])
Industril Electricity cost = 0.1899€/kWh (from [122])
For this size: Industrial</text>
  </threadedComment>
  <threadedComment ref="T121" dT="2025-10-19T10:27:00.29" personId="{3A570543-CE0C-4FE9-92C2-995D0228DD10}" id="{CBAC1019-5A6B-4ECA-B44B-E30470772909}">
    <text>Residential Electricity cost = 0.2872 €/kWh (from [122])
Industril Electricity cost = 0.1899€/kWh (from [122])
For this size: Industrial</text>
  </threadedComment>
  <threadedComment ref="T122" dT="2025-10-19T10:27:00.29" personId="{3A570543-CE0C-4FE9-92C2-995D0228DD10}" id="{AFAC575F-2CE5-4AE4-B7C2-1BC967993A7F}">
    <text>Residential Electricity cost = 0.2872 €/kWh (from [122])
Industril Electricity cost = 0.1899€/kWh (from [122])
For this size: Industrial</text>
  </threadedComment>
  <threadedComment ref="T123" dT="2025-10-19T10:27:00.29" personId="{3A570543-CE0C-4FE9-92C2-995D0228DD10}" id="{2A7EA667-AE15-4536-BE56-6C8CF160B266}">
    <text>Residential Electricity cost = 0.2872 €/kWh (from [122])
Industril Electricity cost = 0.1899€/kWh (from [122])
For this size: Industrial</text>
  </threadedComment>
  <threadedComment ref="T124" dT="2025-10-19T10:27:00.29" personId="{3A570543-CE0C-4FE9-92C2-995D0228DD10}" id="{3F25AD55-F777-4F48-8484-12C220E6EC32}">
    <text>Residential Electricity cost = 0.2872 €/kWh (from [122])
Industril Electricity cost = 0.1899€/kWh (from [122])
For this size: Industrial</text>
  </threadedComment>
  <threadedComment ref="T125" dT="2025-10-19T10:27:00.29" personId="{3A570543-CE0C-4FE9-92C2-995D0228DD10}" id="{58ED7B38-3394-46F2-8240-3CA9B7DF330E}">
    <text>Residential Electricity cost = 0.2872 €/kWh (from [122])
Industril Electricity cost = 0.1899€/kWh (from [122])
For this size: Industrial</text>
  </threadedComment>
  <threadedComment ref="T126" dT="2025-10-19T10:27:00.29" personId="{3A570543-CE0C-4FE9-92C2-995D0228DD10}" id="{A3D3CB36-E3AB-4CF9-A8E9-07AAF7571ABB}">
    <text>Residential Electricity cost = 0.2872 €/kWh (from [122])
Industril Electricity cost = 0.1899€/kWh (from [122])
For this size: Industrial</text>
  </threadedComment>
  <threadedComment ref="T127" dT="2025-10-19T10:27:00.29" personId="{3A570543-CE0C-4FE9-92C2-995D0228DD10}" id="{D9F48FFB-302C-4DE9-A544-2E6B5DA12E9E}">
    <text>Residential Electricity cost = 0.2872 €/kWh (from [122])
Industril Electricity cost = 0.1899€/kWh (from [122])
For this size: Industrial</text>
  </threadedComment>
  <threadedComment ref="T128" dT="2025-10-19T10:27:00.29" personId="{3A570543-CE0C-4FE9-92C2-995D0228DD10}" id="{9EC94C7C-4E84-4780-9A8A-8577524C56D9}">
    <text>Residential Electricity cost = 0.2872 €/kWh (from [122])
Industril Electricity cost = 0.1899€/kWh (from [122])
For this size: Industrial</text>
  </threadedComment>
  <threadedComment ref="C129" dT="2025-12-15T09:56:08.24" personId="{3A570543-CE0C-4FE9-92C2-995D0228DD10}" id="{82C540E6-3785-4739-B546-2B345C06B8FF}">
    <text xml:space="preserve">UDM: kW_th_cooling
</text>
  </threadedComment>
  <threadedComment ref="D129" dT="2025-12-15T09:56:08.24" personId="{3A570543-CE0C-4FE9-92C2-995D0228DD10}" id="{716CE568-1304-4A8A-AB78-978E59FDF667}">
    <text xml:space="preserve">UDM: kW_el (input)
</text>
  </threadedComment>
  <threadedComment ref="V129" dT="2025-11-24T08:16:54.02" personId="{3A570543-CE0C-4FE9-92C2-995D0228DD10}" id="{F638D329-F217-4293-A78E-380E80681E89}">
    <text>Udm: k€/MW_th*y
1.5% Capex, min 350€</text>
  </threadedComment>
  <threadedComment ref="AC129" dT="2026-01-20T09:11:22.82" personId="{3A570543-CE0C-4FE9-92C2-995D0228DD10}" id="{FF40A4DD-9C7D-4AEA-9153-0BDFD3F42AF5}">
    <text>EER</text>
  </threadedComment>
  <threadedComment ref="E141" dT="2026-01-19T13:08:15.62" personId="{3A570543-CE0C-4FE9-92C2-995D0228DD10}" id="{EBC78036-BB9F-4B81-B648-7D88DBC0E764}">
    <text>Output (H2) is in kW_LHV-H2
Much more data and points in Normalized Maps excel file!</text>
  </threadedComment>
  <threadedComment ref="F141" dT="2026-01-19T13:08:15.62" personId="{3A570543-CE0C-4FE9-92C2-995D0228DD10}" id="{2489A6AD-7E79-4E75-92B7-824118278460}">
    <text>Output (H2) is in kW_LHV-H2
Much more data and points in Normalized Maps excel file!</text>
  </threadedComment>
  <threadedComment ref="N141" dT="2025-12-03T10:06:24.95" personId="{3A570543-CE0C-4FE9-92C2-995D0228DD10}" id="{A00518E0-B2EB-40B4-9D9F-6BB7F5D03ADE}">
    <text>UDM: k$/kW_LHV-H2</text>
  </threadedComment>
  <threadedComment ref="O141" dT="2025-12-03T10:06:24.95" personId="{3A570543-CE0C-4FE9-92C2-995D0228DD10}" id="{80EB1A9E-1831-4F60-ADCD-7E8BD28C9DE4}">
    <text>UDM: k$/kW_el</text>
  </threadedComment>
  <threadedComment ref="T141" dT="2025-10-19T13:39:52.00" personId="{3A570543-CE0C-4FE9-92C2-995D0228DD10}" id="{347EDA34-8350-4DB1-92D9-68750B3F6FE7}">
    <text xml:space="preserve">Cost el. = 0.1899 €/kWh
</text>
  </threadedComment>
  <threadedComment ref="V141" dT="2025-10-03T08:18:02.82" personId="{3A570543-CE0C-4FE9-92C2-995D0228DD10}" id="{ADBDBA1F-4A9B-42DF-BF94-3D9188723BA1}">
    <text>Vanno convertiti da €/(kg/d)/y a €/(kW*y) moltiplicando il primo (valore in resource [40]) * Capital cost (€/kW) / Capital Cost (€/kg*d) 
Entrambi Capital Cost da resource [40]</text>
  </threadedComment>
  <threadedComment ref="W141" dT="2025-12-14T11:13:54.33" personId="{3A570543-CE0C-4FE9-92C2-995D0228DD10}" id="{350C5BF5-F122-4F9A-98B5-CE06430E0CBA}">
    <text>More info on separate sheet (Startup Cost)</text>
  </threadedComment>
  <threadedComment ref="E142" dT="2026-01-19T13:08:15.62" personId="{3A570543-CE0C-4FE9-92C2-995D0228DD10}" id="{B34B6BF2-CE91-448B-B0DF-FC377D888BB1}">
    <text>Output (H2) is in kW_LHV-H2
Much more data and points in Normalized Maps excel file!</text>
  </threadedComment>
  <threadedComment ref="F142" dT="2026-01-19T13:08:15.62" personId="{3A570543-CE0C-4FE9-92C2-995D0228DD10}" id="{E5715C6C-C69A-4BCE-AB1F-AD94E7F87162}">
    <text>Output (H2) is in kW_LHV-H2
Much more data and points in Normalized Maps excel file!</text>
  </threadedComment>
  <threadedComment ref="N142" dT="2025-12-03T10:06:24.95" personId="{3A570543-CE0C-4FE9-92C2-995D0228DD10}" id="{42A3968F-30F4-4A07-8F4E-657601474593}">
    <text>UDM: k$/kW_LHV-H2</text>
  </threadedComment>
  <threadedComment ref="O142" dT="2025-12-03T10:06:24.95" personId="{3A570543-CE0C-4FE9-92C2-995D0228DD10}" id="{F3509144-FE69-4F6D-B153-694076D586AB}">
    <text>UDM: k$/kW_el</text>
  </threadedComment>
  <threadedComment ref="T142" dT="2025-10-19T13:39:52.00" personId="{3A570543-CE0C-4FE9-92C2-995D0228DD10}" id="{23C21C39-7929-4D51-A9A1-6B2863DF6793}">
    <text xml:space="preserve">Cost el. = 0.1899 €/kWh
</text>
  </threadedComment>
  <threadedComment ref="V142" dT="2025-10-03T08:18:02.82" personId="{3A570543-CE0C-4FE9-92C2-995D0228DD10}" id="{CD2A8D34-FD97-42EA-B205-BC79ED42769C}">
    <text>Vanno convertiti da €/(kg/d)/y a €/(kW*y) moltiplicando il primo (valore in resource [40]) * Capital cost (€/kW) / Capital Cost (€/kg*d) 
Entrambi Capital Cost da resource [40]</text>
  </threadedComment>
  <threadedComment ref="W142" dT="2025-12-14T11:13:54.33" personId="{3A570543-CE0C-4FE9-92C2-995D0228DD10}" id="{272B52D1-215A-4A2A-9141-E0482A3D42BC}">
    <text>More info on separate sheet (Startup Cost)</text>
  </threadedComment>
  <threadedComment ref="C143" dT="2025-11-28T13:12:12.36" personId="{3A570543-CE0C-4FE9-92C2-995D0228DD10}" id="{B6DF9FFD-3937-4BC1-9154-510890688CC9}">
    <text>Udm: kW_th</text>
  </threadedComment>
  <threadedComment ref="D143" dT="2025-11-28T13:12:12.36" personId="{3A570543-CE0C-4FE9-92C2-995D0228DD10}" id="{4F55B212-0456-41CA-B1FF-F50107D3A707}">
    <text>Udm: kW_LHV (Wood Chips)</text>
  </threadedComment>
  <threadedComment ref="T143" dT="2025-10-16T07:29:25.75" personId="{3A570543-CE0C-4FE9-92C2-995D0228DD10}" id="{D1914C72-8AFF-4819-A899-E8998BE784A1}">
    <text>Price of Wood Chips: 33.8 €/MWh
-&gt; 0.0338 k€/MWh 
(variable cost = fuel cost only)</text>
  </threadedComment>
  <threadedComment ref="W143" dT="2025-10-12T08:13:54.40" personId="{3A570543-CE0C-4FE9-92C2-995D0228DD10}" id="{AB202F3E-B57D-4B41-9BF5-9ECEE3E66585}">
    <text xml:space="preserve">More info on separate sheet (Startup Cost)
</text>
  </threadedComment>
  <threadedComment ref="T144" dT="2025-10-16T07:29:25.75" personId="{3A570543-CE0C-4FE9-92C2-995D0228DD10}" id="{2B0E1532-34C3-4B78-B36C-5D4069808183}">
    <text>Price of Wood Chips: 33.8 €/MWh
-&gt; 0.0338 k€/MWh 
(variable cost = fuel cost only)</text>
  </threadedComment>
  <threadedComment ref="W144" dT="2025-10-12T08:13:54.40" personId="{3A570543-CE0C-4FE9-92C2-995D0228DD10}" id="{684940F3-C88B-4901-8ED0-4B837D38B920}">
    <text xml:space="preserve">More info on separate sheet (Startup Cost)
</text>
  </threadedComment>
  <threadedComment ref="T145" dT="2025-10-16T07:29:25.75" personId="{3A570543-CE0C-4FE9-92C2-995D0228DD10}" id="{095F1A4D-664B-4D8E-AAB1-267619CF5DEA}">
    <text>Price of Wood Chips: 33.8 €/MWh
-&gt; 0.0338 k€/MWh 
(variable cost = fuel cost only)</text>
  </threadedComment>
  <threadedComment ref="W145" dT="2025-10-12T08:13:54.40" personId="{3A570543-CE0C-4FE9-92C2-995D0228DD10}" id="{DC825997-119C-454C-AB9D-3ED227E5F07C}">
    <text xml:space="preserve">More info on separate sheet (Startup Cost)
</text>
  </threadedComment>
  <threadedComment ref="T146" dT="2025-10-16T07:29:25.75" personId="{3A570543-CE0C-4FE9-92C2-995D0228DD10}" id="{FC0AE1D3-71AB-45BC-9999-B6BA0EF2047F}">
    <text>Price of Wood Chips: 33.8 €/MWh
-&gt; 0.0338 k€/MWh 
(variable cost = fuel cost only)</text>
  </threadedComment>
  <threadedComment ref="W146" dT="2025-10-12T08:13:54.40" personId="{3A570543-CE0C-4FE9-92C2-995D0228DD10}" id="{4D9B6774-8BCF-4742-9900-8E0CCED1DF43}">
    <text xml:space="preserve">More info on separate sheet (Startup Cost)
</text>
  </threadedComment>
  <threadedComment ref="T147" dT="2025-10-16T07:29:25.75" personId="{3A570543-CE0C-4FE9-92C2-995D0228DD10}" id="{E3256D13-1290-4223-BC0C-EF0DFD937666}">
    <text>Price of Wood Chips: 33.8 €/MWh
-&gt; 0.0338 k€/MWh 
(variable cost = fuel cost only)</text>
  </threadedComment>
  <threadedComment ref="W147" dT="2025-10-12T08:13:54.40" personId="{3A570543-CE0C-4FE9-92C2-995D0228DD10}" id="{2DB5CBD2-89A3-4519-B4F4-122D64C746BA}">
    <text xml:space="preserve">More info on separate sheet (Startup Cost)
</text>
  </threadedComment>
  <threadedComment ref="T148" dT="2025-10-16T07:29:25.75" personId="{3A570543-CE0C-4FE9-92C2-995D0228DD10}" id="{C913A5B6-E796-447B-B5D8-CCC1A537978A}">
    <text>Price of Wood Chips: 33.8 €/MWh
-&gt; 0.0338 k€/MWh 
(variable cost = fuel cost only)</text>
  </threadedComment>
  <threadedComment ref="W148" dT="2025-10-12T08:13:54.40" personId="{3A570543-CE0C-4FE9-92C2-995D0228DD10}" id="{B9251006-84F7-4E4E-B308-86D5A419B172}">
    <text xml:space="preserve">More info on separate sheet (Startup Cost)
</text>
  </threadedComment>
  <threadedComment ref="T149" dT="2025-10-16T07:29:25.75" personId="{3A570543-CE0C-4FE9-92C2-995D0228DD10}" id="{EC3121BE-A3A3-42EA-853F-46DA742F54A6}">
    <text>Price of Wood Chips: 33.8 €/MWh
-&gt; 0.0338 k€/MWh 
(variable cost = fuel cost only)</text>
  </threadedComment>
  <threadedComment ref="W149" dT="2025-10-12T08:13:54.40" personId="{3A570543-CE0C-4FE9-92C2-995D0228DD10}" id="{68F9A384-903C-48EF-9409-7D6A9BF43BA1}">
    <text xml:space="preserve">More info on separate sheet (Startup Cost)
</text>
  </threadedComment>
  <threadedComment ref="T150" dT="2025-10-16T07:29:25.75" personId="{3A570543-CE0C-4FE9-92C2-995D0228DD10}" id="{1D3B968A-40D5-4695-9080-3F2DE787C0BA}">
    <text>Price of Wood Chips: 33.8 €/MWh
-&gt; 0.0338 k€/MWh 
(variable cost = fuel cost only)</text>
  </threadedComment>
  <threadedComment ref="W150" dT="2025-10-12T08:13:54.40" personId="{3A570543-CE0C-4FE9-92C2-995D0228DD10}" id="{531DEB51-52C7-4775-972E-529749849D0E}">
    <text xml:space="preserve">More info on separate sheet (Startup Cost)
</text>
  </threadedComment>
  <threadedComment ref="T151" dT="2025-10-16T07:29:25.75" personId="{3A570543-CE0C-4FE9-92C2-995D0228DD10}" id="{548F1001-50D5-4824-B95C-1F2026F7EBEB}">
    <text>Price of Wood Chips: 33.8 €/MWh
-&gt; 0.0338 k€/MWh 
(variable cost = fuel cost only)</text>
  </threadedComment>
  <threadedComment ref="W151" dT="2025-10-12T08:13:54.40" personId="{3A570543-CE0C-4FE9-92C2-995D0228DD10}" id="{8B446236-DA59-4052-BD63-15D537C75305}">
    <text xml:space="preserve">More info on separate sheet (Startup Cost)
</text>
  </threadedComment>
  <threadedComment ref="T152" dT="2025-10-16T07:29:25.75" personId="{3A570543-CE0C-4FE9-92C2-995D0228DD10}" id="{129FEF60-927C-4E86-834A-36CD2768352E}">
    <text>Price of Wood Chips: 33.8 €/MWh
-&gt; 0.0338 k€/MWh 
(variable cost = fuel cost only)</text>
  </threadedComment>
  <threadedComment ref="W152" dT="2025-10-12T08:13:54.40" personId="{3A570543-CE0C-4FE9-92C2-995D0228DD10}" id="{5ECD8792-653F-4D55-8A9F-DFF0140B6AB2}">
    <text xml:space="preserve">More info on separate sheet (Startup Cost)
</text>
  </threadedComment>
  <threadedComment ref="T153" dT="2025-10-16T07:29:25.75" personId="{3A570543-CE0C-4FE9-92C2-995D0228DD10}" id="{922EB8AE-6654-40F1-9CEA-3F30E0B3F148}">
    <text>Price of Wood Chips: 33.8 €/MWh
-&gt; 0.0338 k€/MWh 
(variable cost = fuel cost only)</text>
  </threadedComment>
  <threadedComment ref="W153" dT="2025-10-12T08:13:54.40" personId="{3A570543-CE0C-4FE9-92C2-995D0228DD10}" id="{62C5568F-DEB3-4C7F-8B6A-F6B7A71EDDB1}">
    <text xml:space="preserve">More info on separate sheet (Startup Cost)
</text>
  </threadedComment>
  <threadedComment ref="T154" dT="2025-10-16T07:29:25.75" personId="{3A570543-CE0C-4FE9-92C2-995D0228DD10}" id="{04E9D552-617F-4EA1-951C-576160E94EDE}">
    <text>Price of Wood Chips: 33.8 €/MWh
-&gt; 0.0338 k€/MWh 
(variable cost = fuel cost only)</text>
  </threadedComment>
  <threadedComment ref="W154" dT="2025-10-12T08:13:54.40" personId="{3A570543-CE0C-4FE9-92C2-995D0228DD10}" id="{644842D7-8CCC-437E-A75A-061E91B9E75F}">
    <text xml:space="preserve">More info on separate sheet (Startup Cost)
</text>
  </threadedComment>
  <threadedComment ref="T155" dT="2025-10-16T07:29:25.75" personId="{3A570543-CE0C-4FE9-92C2-995D0228DD10}" id="{77E400D7-D2D9-4EC4-AB93-059C1F6E0DA7}">
    <text>Price of Wood Chips: 33.8 €/MWh
-&gt; 0.0338 k€/MWh 
(variable cost = fuel cost only)</text>
  </threadedComment>
  <threadedComment ref="W155" dT="2025-10-12T08:13:54.40" personId="{3A570543-CE0C-4FE9-92C2-995D0228DD10}" id="{A51EBFD1-D51E-4487-9C9E-F5A8D488061D}">
    <text xml:space="preserve">More info on separate sheet (Startup Cost)
</text>
  </threadedComment>
  <threadedComment ref="T156" dT="2025-10-16T07:29:25.75" personId="{3A570543-CE0C-4FE9-92C2-995D0228DD10}" id="{4A75D2F4-14C1-44DF-BC81-40DD378AB7CF}">
    <text>Price of Wood Chips: 33.8 €/MWh
-&gt; 0.0338 k€/MWh 
(variable cost = fuel cost only)</text>
  </threadedComment>
  <threadedComment ref="W156" dT="2025-10-12T08:13:54.40" personId="{3A570543-CE0C-4FE9-92C2-995D0228DD10}" id="{6F92F6E1-8827-45E6-ADB2-EC873CECF9AE}">
    <text xml:space="preserve">More info on separate sheet (Startup Cost)
</text>
  </threadedComment>
  <threadedComment ref="T157" dT="2025-10-16T07:29:25.75" personId="{3A570543-CE0C-4FE9-92C2-995D0228DD10}" id="{D849146F-BBB4-4D08-9ED2-88FBAD051801}">
    <text>Price of Wood Chips: 33.8 €/MWh
-&gt; 0.0338 k€/MWh 
(variable cost = fuel cost only)</text>
  </threadedComment>
  <threadedComment ref="W157" dT="2025-10-12T08:13:54.40" personId="{3A570543-CE0C-4FE9-92C2-995D0228DD10}" id="{45359EEC-3CC4-49EA-809C-46144158D8E1}">
    <text xml:space="preserve">More info on separate sheet (Startup Cost)
</text>
  </threadedComment>
  <threadedComment ref="T158" dT="2025-10-16T07:29:25.75" personId="{3A570543-CE0C-4FE9-92C2-995D0228DD10}" id="{9687838B-0593-4546-8757-810397C373AF}">
    <text>Price of Wood Chips: 33.8 €/MWh
-&gt; 0.0338 k€/MWh 
(variable cost = fuel cost only)</text>
  </threadedComment>
  <threadedComment ref="W158" dT="2025-10-12T08:13:54.40" personId="{3A570543-CE0C-4FE9-92C2-995D0228DD10}" id="{3A39C8A0-2071-4283-8E3C-23EF69C094C4}">
    <text xml:space="preserve">More info on separate sheet (Startup Cost)
</text>
  </threadedComment>
  <threadedComment ref="T159" dT="2025-10-16T07:29:25.75" personId="{3A570543-CE0C-4FE9-92C2-995D0228DD10}" id="{77F464D8-3784-42B4-8356-73DEA608FE61}">
    <text>Price of Wood Chips: 33.8 €/MWh
-&gt; 0.0338 k€/MWh 
(variable cost = fuel cost only)</text>
  </threadedComment>
  <threadedComment ref="W159" dT="2025-10-12T08:13:54.40" personId="{3A570543-CE0C-4FE9-92C2-995D0228DD10}" id="{8C886F79-1416-4B38-8EAF-E6297FB828B5}">
    <text xml:space="preserve">More info on separate sheet (Startup Cost)
</text>
  </threadedComment>
  <threadedComment ref="T160" dT="2025-10-16T07:29:25.75" personId="{3A570543-CE0C-4FE9-92C2-995D0228DD10}" id="{2B11BFF2-EA93-4E78-98D2-6AAAF72A977E}">
    <text>Price of Wood Chips: 33.8 €/MWh
-&gt; 0.0338 k€/MWh 
(variable cost = fuel cost only)</text>
  </threadedComment>
  <threadedComment ref="W160" dT="2025-10-12T08:13:54.40" personId="{3A570543-CE0C-4FE9-92C2-995D0228DD10}" id="{8ABBACEE-08CB-4464-9146-31C4D811C8AA}">
    <text xml:space="preserve">More info on separate sheet (Startup Cost)
</text>
  </threadedComment>
  <threadedComment ref="T161" dT="2025-10-16T07:29:25.75" personId="{3A570543-CE0C-4FE9-92C2-995D0228DD10}" id="{B329F920-EB0E-4E5B-838D-2D75FA29D0A8}">
    <text>Price of Wood Chips: 33.8 €/MWh
-&gt; 0.0338 k€/MWh 
(variable cost = fuel cost only)</text>
  </threadedComment>
  <threadedComment ref="W161" dT="2025-10-12T08:13:54.40" personId="{3A570543-CE0C-4FE9-92C2-995D0228DD10}" id="{BD6304EC-A9D8-4550-ABB3-2A4AE76E9E2B}">
    <text xml:space="preserve">More info on separate sheet (Startup Cost)
</text>
  </threadedComment>
  <threadedComment ref="T162" dT="2025-10-16T07:29:25.75" personId="{3A570543-CE0C-4FE9-92C2-995D0228DD10}" id="{9E54E7CC-CDAF-4F5E-8597-79199E3F1FD0}">
    <text>Price of Wood Chips: 33.8 €/MWh
-&gt; 0.0338 k€/MWh 
(variable cost = fuel cost only)</text>
  </threadedComment>
  <threadedComment ref="W162" dT="2025-10-12T08:13:54.40" personId="{3A570543-CE0C-4FE9-92C2-995D0228DD10}" id="{E240182F-3373-4FA8-8EE2-94AF4EE27CEC}">
    <text xml:space="preserve">More info on separate sheet (Startup Cost)
</text>
  </threadedComment>
  <threadedComment ref="T163" dT="2025-10-16T07:29:25.75" personId="{3A570543-CE0C-4FE9-92C2-995D0228DD10}" id="{6B54AC01-4744-4663-901E-132D1E13A5C4}">
    <text>Price of Wood Chips: 33.8 €/MWh
-&gt; 0.0338 k€/MWh 
(variable cost = fuel cost only)</text>
  </threadedComment>
  <threadedComment ref="W163" dT="2025-10-12T08:13:54.40" personId="{3A570543-CE0C-4FE9-92C2-995D0228DD10}" id="{C4277481-91A0-4785-B7C5-99DE67102D9D}">
    <text xml:space="preserve">More info on separate sheet (Startup Cost)
</text>
  </threadedComment>
  <threadedComment ref="T164" dT="2025-10-16T07:29:25.75" personId="{3A570543-CE0C-4FE9-92C2-995D0228DD10}" id="{0710A027-16ED-4E23-96FE-59F8C93183BA}">
    <text>Price of Wood Chips: 33.8 €/MWh
-&gt; 0.0338 k€/MWh 
(variable cost = fuel cost only)</text>
  </threadedComment>
  <threadedComment ref="W164" dT="2025-10-12T08:13:54.40" personId="{3A570543-CE0C-4FE9-92C2-995D0228DD10}" id="{5ACC5E15-FD73-47C2-9798-EFCCE305EDB3}">
    <text xml:space="preserve">More info on separate sheet (Startup Cost)
</text>
  </threadedComment>
  <threadedComment ref="C165" dT="2025-11-28T13:12:12.36" personId="{3A570543-CE0C-4FE9-92C2-995D0228DD10}" id="{96B48D63-4D69-4EE8-A16F-7208CCACBA84}">
    <text>Udm: kW_th</text>
  </threadedComment>
  <threadedComment ref="D165" dT="2025-11-28T13:12:12.36" personId="{3A570543-CE0C-4FE9-92C2-995D0228DD10}" id="{347565B3-BEF4-4627-9F01-E59262A12908}">
    <text>Udm: kW_th</text>
  </threadedComment>
  <threadedComment ref="T165" dT="2025-10-16T07:29:25.75" personId="{3A570543-CE0C-4FE9-92C2-995D0228DD10}" id="{450F9D41-82EA-4705-8D08-ADD4B1657AF7}">
    <text>Price of Pellet: 56.4 €/MWh
-&gt; 0.0564 k€/MWh
(variable cost = fuel cost only)</text>
  </threadedComment>
  <threadedComment ref="W165" dT="2025-10-12T08:13:54.40" personId="{3A570543-CE0C-4FE9-92C2-995D0228DD10}" id="{E098EBEB-60EC-41B3-A418-C8F0FDFF1CE6}">
    <text xml:space="preserve">More info on separate sheet (Startup Cost)
</text>
  </threadedComment>
  <threadedComment ref="T166" dT="2025-10-16T07:29:25.75" personId="{3A570543-CE0C-4FE9-92C2-995D0228DD10}" id="{16581453-B6B8-44D2-A2B6-3414317603FD}">
    <text>Price of Pellet: 56.4 €/MWh
-&gt; 0.0564 k€/MWh
(variable cost = fuel cost only)</text>
  </threadedComment>
  <threadedComment ref="W166" dT="2025-10-12T08:13:54.40" personId="{3A570543-CE0C-4FE9-92C2-995D0228DD10}" id="{26E80065-6A67-4683-8DE9-6FEEDB8936B8}">
    <text xml:space="preserve">More info on separate sheet (Startup Cost)
</text>
  </threadedComment>
  <threadedComment ref="T167" dT="2025-10-16T07:29:25.75" personId="{3A570543-CE0C-4FE9-92C2-995D0228DD10}" id="{BF4F8BD8-CFFA-4FB7-9A41-F7D561784197}">
    <text>Price of Pellet: 56.4 €/MWh
-&gt; 0.0564 k€/MWh
(variable cost = fuel cost only)</text>
  </threadedComment>
  <threadedComment ref="W167" dT="2025-10-12T08:13:54.40" personId="{3A570543-CE0C-4FE9-92C2-995D0228DD10}" id="{3FD260DE-2C5D-48E6-A4D1-71DA5DC856F5}">
    <text xml:space="preserve">More info on separate sheet (Startup Cost)
</text>
  </threadedComment>
  <threadedComment ref="T168" dT="2025-10-16T07:29:25.75" personId="{3A570543-CE0C-4FE9-92C2-995D0228DD10}" id="{0869DDBF-B0E7-4515-9E60-4DAD16B4EA05}">
    <text>Price of Pellet: 56.4 €/MWh
-&gt; 0.0564 k€/MWh
(variable cost = fuel cost only)</text>
  </threadedComment>
  <threadedComment ref="W168" dT="2025-10-12T08:13:54.40" personId="{3A570543-CE0C-4FE9-92C2-995D0228DD10}" id="{96F74672-C3B8-40E6-84FD-EFC2C3299A18}">
    <text xml:space="preserve">More info on separate sheet (Startup Cost)
</text>
  </threadedComment>
  <threadedComment ref="T169" dT="2025-10-16T07:29:25.75" personId="{3A570543-CE0C-4FE9-92C2-995D0228DD10}" id="{42562E6E-AD6B-4805-91A4-CC615AE9D42F}">
    <text>Price of Pellet: 56.4 €/MWh
-&gt; 0.0564 k€/MWh
(variable cost = fuel cost only)</text>
  </threadedComment>
  <threadedComment ref="W169" dT="2025-10-12T08:13:54.40" personId="{3A570543-CE0C-4FE9-92C2-995D0228DD10}" id="{A000F735-2CF5-41B5-8078-B61FCBAF9A9F}">
    <text xml:space="preserve">More info on separate sheet (Startup Cost)
</text>
  </threadedComment>
  <threadedComment ref="T170" dT="2025-10-16T07:29:25.75" personId="{3A570543-CE0C-4FE9-92C2-995D0228DD10}" id="{E6E2E3AF-0EB3-47CF-99AA-034CFBB43400}">
    <text>Price of Pellet: 56.4 €/MWh
-&gt; 0.0564 k€/MWh
(variable cost = fuel cost only)</text>
  </threadedComment>
  <threadedComment ref="W170" dT="2025-10-12T08:13:54.40" personId="{3A570543-CE0C-4FE9-92C2-995D0228DD10}" id="{3E5A9095-EC78-46F4-BD8C-A4AA1E7834F3}">
    <text xml:space="preserve">More info on separate sheet (Startup Cost)
</text>
  </threadedComment>
  <threadedComment ref="T171" dT="2025-10-16T07:29:25.75" personId="{3A570543-CE0C-4FE9-92C2-995D0228DD10}" id="{375071E3-5FA3-488F-A27C-D31013275393}">
    <text>Price of Pellet: 56.4 €/MWh
-&gt; 0.0564 k€/MWh
(variable cost = fuel cost only)</text>
  </threadedComment>
  <threadedComment ref="W171" dT="2025-10-12T08:13:54.40" personId="{3A570543-CE0C-4FE9-92C2-995D0228DD10}" id="{D764F59C-BC6C-47FC-A116-194C83EC8468}">
    <text xml:space="preserve">More info on separate sheet (Startup Cost)
</text>
  </threadedComment>
  <threadedComment ref="T172" dT="2025-10-16T07:29:25.75" personId="{3A570543-CE0C-4FE9-92C2-995D0228DD10}" id="{02486387-9D88-4B5A-A1E7-22EEEB5765AA}">
    <text>Price of Pellet: 56.4 €/MWh
-&gt; 0.0564 k€/MWh
(variable cost = fuel cost only)</text>
  </threadedComment>
  <threadedComment ref="W172" dT="2025-10-12T08:13:54.40" personId="{3A570543-CE0C-4FE9-92C2-995D0228DD10}" id="{C5E7D2A7-34DD-4B65-9D03-D6474B4A220D}">
    <text xml:space="preserve">More info on separate sheet (Startup Cost)
</text>
  </threadedComment>
  <threadedComment ref="T173" dT="2025-10-16T07:29:25.75" personId="{3A570543-CE0C-4FE9-92C2-995D0228DD10}" id="{420FD961-8EE5-40AE-B4CE-63432AF47DCD}">
    <text>Price of Pellet: 56.4 €/MWh
-&gt; 0.0564 k€/MWh
(variable cost = fuel cost only)</text>
  </threadedComment>
  <threadedComment ref="W173" dT="2025-10-12T08:13:54.40" personId="{3A570543-CE0C-4FE9-92C2-995D0228DD10}" id="{3C33D95E-FACD-41D9-A9DC-6CFABEC21171}">
    <text xml:space="preserve">More info on separate sheet (Startup Cost)
</text>
  </threadedComment>
  <threadedComment ref="T174" dT="2025-10-16T07:29:25.75" personId="{3A570543-CE0C-4FE9-92C2-995D0228DD10}" id="{B52FAC7E-9E3C-42AC-A871-2095FFF0A4F3}">
    <text>Price of Pellet: 56.4 €/MWh
-&gt; 0.0564 k€/MWh
(variable cost = fuel cost only)</text>
  </threadedComment>
  <threadedComment ref="W174" dT="2025-10-12T08:13:54.40" personId="{3A570543-CE0C-4FE9-92C2-995D0228DD10}" id="{F9FAEB3F-A47C-4A91-BFC8-356FD1F5B402}">
    <text xml:space="preserve">More info on separate sheet (Startup Cost)
</text>
  </threadedComment>
  <threadedComment ref="T175" dT="2025-10-16T07:29:25.75" personId="{3A570543-CE0C-4FE9-92C2-995D0228DD10}" id="{D7DE3029-5CEB-4437-985F-D60329562D0A}">
    <text>Price of Pellet: 56.4 €/MWh
-&gt; 0.0564 k€/MWh
(variable cost = fuel cost only)</text>
  </threadedComment>
  <threadedComment ref="W175" dT="2025-10-12T08:13:54.40" personId="{3A570543-CE0C-4FE9-92C2-995D0228DD10}" id="{3CC83B95-80A9-4611-8A54-BBB3B5365C26}">
    <text xml:space="preserve">More info on separate sheet (Startup Cost)
</text>
  </threadedComment>
  <threadedComment ref="C176" dT="2025-11-28T13:12:12.36" personId="{3A570543-CE0C-4FE9-92C2-995D0228DD10}" id="{60BB9C4B-C052-49D4-A679-7DEDE10EC7D7}">
    <text>Udm: kW_el</text>
  </threadedComment>
  <threadedComment ref="D176" dT="2025-11-28T13:12:12.36" personId="{3A570543-CE0C-4FE9-92C2-995D0228DD10}" id="{A01BBBB3-A0DF-4ABA-A207-161BE3221884}">
    <text>Udm: kW_LHV (biomass)</text>
  </threadedComment>
  <threadedComment ref="T176" dT="2025-11-22T11:59:50.01" personId="{3A570543-CE0C-4FE9-92C2-995D0228DD10}" id="{B467EB3C-3F9B-4702-8923-DB072B28F3F0}">
    <text>Biomass to feed considered as waste</text>
  </threadedComment>
  <threadedComment ref="V176" dT="2025-11-22T10:04:44.76" personId="{3A570543-CE0C-4FE9-92C2-995D0228DD10}" id="{B35C3361-00B2-44D0-B357-3C632121CF39}">
    <text>2.5 % Capex</text>
  </threadedComment>
  <threadedComment ref="W176" dT="2025-10-12T08:13:54.40" personId="{3A570543-CE0C-4FE9-92C2-995D0228DD10}" id="{007F783E-D8DB-4465-A88C-645CF90AA240}">
    <text xml:space="preserve">More info on separate sheet (Startup Cost)
</text>
  </threadedComment>
  <threadedComment ref="T177" dT="2025-11-22T11:59:50.01" personId="{3A570543-CE0C-4FE9-92C2-995D0228DD10}" id="{24CE123A-960E-4D63-90BD-A87FDBF43854}">
    <text>Biomass to feed considered as waste</text>
  </threadedComment>
  <threadedComment ref="V177" dT="2025-11-22T10:04:44.76" personId="{3A570543-CE0C-4FE9-92C2-995D0228DD10}" id="{DF05C47E-C32D-4B0F-9D2E-4AB56932342E}">
    <text>2 % Capex</text>
  </threadedComment>
  <threadedComment ref="W177" dT="2025-10-12T08:13:54.40" personId="{3A570543-CE0C-4FE9-92C2-995D0228DD10}" id="{36E2E6CF-2D43-4B1C-B2A9-33DF852931FB}">
    <text xml:space="preserve">More info on separate sheet (Startup Cost)
</text>
  </threadedComment>
  <threadedComment ref="T178" dT="2025-11-22T11:59:50.01" personId="{3A570543-CE0C-4FE9-92C2-995D0228DD10}" id="{6ECBF849-B367-40C6-A29E-7C09BA2F582A}">
    <text>Biomass to feed considered as waste</text>
  </threadedComment>
  <threadedComment ref="V178" dT="2025-11-22T10:04:44.76" personId="{3A570543-CE0C-4FE9-92C2-995D0228DD10}" id="{982A194F-D356-41E5-B5FF-9159C07655E0}">
    <text>2 % Capex</text>
  </threadedComment>
  <threadedComment ref="W178" dT="2025-10-12T08:13:54.40" personId="{3A570543-CE0C-4FE9-92C2-995D0228DD10}" id="{5803B740-F208-4F2C-A325-58F41BCF9CCF}">
    <text xml:space="preserve">More info on separate sheet (Startup Cost)
</text>
  </threadedComment>
  <threadedComment ref="C179" dT="2025-11-28T13:12:12.36" personId="{3A570543-CE0C-4FE9-92C2-995D0228DD10}" id="{5C2C25E6-9187-4C61-B682-58871B43A5BB}">
    <text>Udm: kW_th</text>
  </threadedComment>
  <threadedComment ref="D179" dT="2025-11-28T13:12:12.36" personId="{3A570543-CE0C-4FE9-92C2-995D0228DD10}" id="{9451AE48-8A01-41B7-9CF1-48975D8ACA3F}">
    <text>Udm: kW_th (input)</text>
  </threadedComment>
  <threadedComment ref="E179" dT="2026-01-19T13:48:29.90" personId="{3A570543-CE0C-4FE9-92C2-995D0228DD10}" id="{4F145B24-31F6-4D18-974A-4CBB28C22FDB}">
    <text>Much more data and points in Normalized Maps excel file!</text>
  </threadedComment>
  <threadedComment ref="F179" dT="2026-01-19T13:48:29.90" personId="{3A570543-CE0C-4FE9-92C2-995D0228DD10}" id="{4CFBF61B-4365-4B16-B526-5D47F02E3B13}">
    <text>Much more data and points in Normalized Maps excel file!</text>
  </threadedComment>
  <threadedComment ref="N179" dT="2025-11-23T09:41:55.51" personId="{3A570543-CE0C-4FE9-92C2-995D0228DD10}" id="{51EEE20E-061C-4114-B41A-BE041CEA6E03}">
    <text>Udm: $/kW_th</text>
  </threadedComment>
  <threadedComment ref="O179" dT="2025-11-23T09:41:55.51" personId="{3A570543-CE0C-4FE9-92C2-995D0228DD10}" id="{600B079B-E520-49FE-A446-E4178A79392B}">
    <text>Udm: $/kW_th</text>
  </threadedComment>
  <threadedComment ref="V179" dT="2025-11-23T09:41:20.19" personId="{3A570543-CE0C-4FE9-92C2-995D0228DD10}" id="{150202C2-AFFD-4C16-9FDE-0B08DD15703E}">
    <text>Udm : k$/(MW_th*y)
3% CAPEX</text>
  </threadedComment>
  <threadedComment ref="AC179" dT="2025-12-16T09:01:41.36" personId="{3A570543-CE0C-4FE9-92C2-995D0228DD10}" id="{B722A08A-50CD-422E-93C0-516A990DC206}">
    <text>EER</text>
  </threadedComment>
  <threadedComment ref="E180" dT="2026-01-19T13:48:29.90" personId="{3A570543-CE0C-4FE9-92C2-995D0228DD10}" id="{6A074C49-1B78-471F-AC00-CD6D41DBD124}">
    <text>Much more data and points in Normalized Maps excel file!</text>
  </threadedComment>
  <threadedComment ref="F180" dT="2026-01-19T13:48:29.90" personId="{3A570543-CE0C-4FE9-92C2-995D0228DD10}" id="{F6424FB9-2E12-41CC-9D8C-4327C8D96FBA}">
    <text>Much more data and points in Normalized Maps excel file!</text>
  </threadedComment>
  <threadedComment ref="E181" dT="2026-01-19T13:48:29.90" personId="{3A570543-CE0C-4FE9-92C2-995D0228DD10}" id="{8F3095ED-C575-4599-959F-EE84226F70C0}">
    <text>Much more data and points in Normalized Maps excel file!</text>
  </threadedComment>
  <threadedComment ref="F181" dT="2026-01-19T13:48:29.90" personId="{3A570543-CE0C-4FE9-92C2-995D0228DD10}" id="{1BDAFB37-80B5-4232-996A-B845AE10440D}">
    <text>Much more data and points in Normalized Maps excel file!</text>
  </threadedComment>
  <threadedComment ref="C182" dT="2025-11-28T13:12:12.36" personId="{3A570543-CE0C-4FE9-92C2-995D0228DD10}" id="{F2B2C992-A743-474B-ADDF-5B54A25B7402}">
    <text>Udm: kW_th</text>
  </threadedComment>
  <threadedComment ref="D182" dT="2025-11-28T13:12:12.36" personId="{3A570543-CE0C-4FE9-92C2-995D0228DD10}" id="{6D81C877-AF0B-4622-8793-84BF5B8EB3D6}">
    <text>Udm: kW_el (input)</text>
  </threadedComment>
  <threadedComment ref="E182" dT="2026-01-19T13:48:29.90" personId="{3A570543-CE0C-4FE9-92C2-995D0228DD10}" id="{30594B84-2268-4613-BCB1-4E5B8A88FBD1}">
    <text>Much more data and points in Normalized Maps excel file!</text>
  </threadedComment>
  <threadedComment ref="F182" dT="2026-01-19T13:48:29.90" personId="{3A570543-CE0C-4FE9-92C2-995D0228DD10}" id="{B94681D3-8D4D-4110-A014-4EB4674AF399}">
    <text>Much more data and points in Normalized Maps excel file!</text>
  </threadedComment>
  <threadedComment ref="N182" dT="2025-11-23T09:41:55.51" personId="{3A570543-CE0C-4FE9-92C2-995D0228DD10}" id="{608ADF9D-440C-46C7-AE32-61FEEB6E715C}">
    <text>Udm: €/kW_th</text>
  </threadedComment>
  <threadedComment ref="O182" dT="2025-11-23T09:41:55.51" personId="{3A570543-CE0C-4FE9-92C2-995D0228DD10}" id="{54833685-091F-4E1E-B9BA-168EBB7FB9A1}">
    <text>Udm: €/kW_th</text>
  </threadedComment>
  <threadedComment ref="T182" dT="2025-10-18T13:15:23.65" personId="{3A570543-CE0C-4FE9-92C2-995D0228DD10}" id="{40651045-615A-404B-A222-ABD37A48F216}">
    <text>EU industrial electricity price (EU avg H2-2024 ≈ €0.1899 / kWh) 
= Electricity price ($or€ per kWh​) / COP
(air, COP = 3.3)
(water, COP = 5)</text>
  </threadedComment>
  <threadedComment ref="U182" dT="2025-12-10T16:56:49.04" personId="{3A570543-CE0C-4FE9-92C2-995D0228DD10}" id="{371FD09C-27A7-4BC5-BFA8-FF6EA4BCBE17}">
    <text>Water chiller</text>
  </threadedComment>
  <threadedComment ref="V182" dT="2025-11-23T11:02:06.19" personId="{3A570543-CE0C-4FE9-92C2-995D0228DD10}" id="{441413E1-75B8-4B66-A3A0-F47DD3DEB149}">
    <text>[202]  the OPEX_fix are 3% Capex 
Udm: k€/MW_th*y</text>
  </threadedComment>
  <threadedComment ref="C183" dT="2025-12-15T10:03:27.62" personId="{3A570543-CE0C-4FE9-92C2-995D0228DD10}" id="{9AAA5D1F-5EBB-478F-859B-2F306F454015}">
    <text>UDM: kW_el</text>
  </threadedComment>
  <threadedComment ref="N183" dT="2025-12-10T14:07:51.94" personId="{3A570543-CE0C-4FE9-92C2-995D0228DD10}" id="{D0CE8124-CE52-4FE4-86FE-6E4134DD329B}">
    <text>UDM: $/kW_dc</text>
  </threadedComment>
  <threadedComment ref="C189" dT="2025-12-15T10:03:27.62" personId="{3A570543-CE0C-4FE9-92C2-995D0228DD10}" id="{26557A94-603D-450D-A420-3346593CB121}">
    <text>UDM: kW_el</text>
  </threadedComment>
  <threadedComment ref="N189" dT="2025-12-10T14:08:29.89" personId="{3A570543-CE0C-4FE9-92C2-995D0228DD10}" id="{FF1D4A1B-AF1C-4DC0-A473-63F90173E80C}">
    <text>UDM: $/kW</text>
  </threadedComment>
  <threadedComment ref="O189" dT="2025-12-10T14:08:29.89" personId="{3A570543-CE0C-4FE9-92C2-995D0228DD10}" id="{88AA5CFF-61E6-4926-8BCC-53E19986381F}">
    <text>UDM: $/kW</text>
  </threadedComment>
  <threadedComment ref="C195" dT="2025-12-15T10:03:27.62" personId="{3A570543-CE0C-4FE9-92C2-995D0228DD10}" id="{C04EA162-5267-4566-991A-0D106FB525AC}">
    <text>UDM: kW_th</text>
  </threadedComment>
  <threadedComment ref="K195" dT="2025-10-11T09:25:45.21" personId="{3A570543-CE0C-4FE9-92C2-995D0228DD10}" id="{5E3904CA-3ABA-437A-80DF-366A5E6911F1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195" dT="2025-10-11T09:25:45.21" personId="{3A570543-CE0C-4FE9-92C2-995D0228DD10}" id="{A6A26A8B-FA0A-4BE1-B45A-0E65FDF3959F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N195" dT="2025-11-24T09:05:41.08" personId="{3A570543-CE0C-4FE9-92C2-995D0228DD10}" id="{818B18B5-81E5-4944-8DC1-4595F29E9B6E}">
    <text>Udm: €/kW_th</text>
  </threadedComment>
  <threadedComment ref="O195" dT="2025-11-24T09:05:41.08" personId="{3A570543-CE0C-4FE9-92C2-995D0228DD10}" id="{8E8516D4-6064-449F-8E30-4B1446FBFBC2}">
    <text>Udm: €/kW_th</text>
  </threadedComment>
  <threadedComment ref="V195" dT="2025-11-24T09:07:23.57" personId="{3A570543-CE0C-4FE9-92C2-995D0228DD10}" id="{B6197A90-2A26-44FD-B14A-14E99BAA127F}">
    <text>Udm: k€/(MW_th*y)
3.5% Capex</text>
  </threadedComment>
  <threadedComment ref="K196" dT="2025-10-11T09:25:45.21" personId="{3A570543-CE0C-4FE9-92C2-995D0228DD10}" id="{1109F453-F631-41C1-84F4-D649ED381980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196" dT="2025-10-11T09:25:45.21" personId="{3A570543-CE0C-4FE9-92C2-995D0228DD10}" id="{81B35DEF-89D9-4CD1-8344-3B8B4C5AFC8C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197" dT="2025-10-11T09:25:45.21" personId="{3A570543-CE0C-4FE9-92C2-995D0228DD10}" id="{E93940A0-CE7F-428C-A75A-AA5178D4BE45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197" dT="2025-10-11T09:25:45.21" personId="{3A570543-CE0C-4FE9-92C2-995D0228DD10}" id="{2A30E100-DA7A-4B71-B15A-2F06D4E7D2C3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198" dT="2025-10-11T09:25:45.21" personId="{3A570543-CE0C-4FE9-92C2-995D0228DD10}" id="{155EB7BE-AC50-4B1F-A688-4D1552CD7933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198" dT="2025-10-11T09:25:45.21" personId="{3A570543-CE0C-4FE9-92C2-995D0228DD10}" id="{8B05B76E-C936-4EFA-9208-6C8A20BC875D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199" dT="2025-10-11T09:25:45.21" personId="{3A570543-CE0C-4FE9-92C2-995D0228DD10}" id="{04893DF8-045F-4F41-84DB-6AF05A119D5D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199" dT="2025-10-11T09:25:45.21" personId="{3A570543-CE0C-4FE9-92C2-995D0228DD10}" id="{0DE8730B-5910-4625-A6D7-8FBE82037971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200" dT="2025-10-11T09:25:45.21" personId="{3A570543-CE0C-4FE9-92C2-995D0228DD10}" id="{4E703D3B-6B2D-4D61-B84C-95B3D8A7D61E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200" dT="2025-10-11T09:25:45.21" personId="{3A570543-CE0C-4FE9-92C2-995D0228DD10}" id="{94149068-B36A-49AA-BE59-B3C0F0A0B8C6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201" dT="2025-10-11T09:25:45.21" personId="{3A570543-CE0C-4FE9-92C2-995D0228DD10}" id="{7955F2E6-D71F-4248-96DC-5C50A4B9BF0E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201" dT="2025-10-11T09:25:45.21" personId="{3A570543-CE0C-4FE9-92C2-995D0228DD10}" id="{69E49BF8-4E3D-4B44-9CFA-4CF66B09E234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202" dT="2025-10-11T09:25:45.21" personId="{3A570543-CE0C-4FE9-92C2-995D0228DD10}" id="{8CD18221-EE2A-48C9-B53A-B5B66AD53F5F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202" dT="2025-10-11T09:25:45.21" personId="{3A570543-CE0C-4FE9-92C2-995D0228DD10}" id="{FF4C9935-32A0-4CC7-B369-6CD364D13BA6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203" dT="2025-10-11T09:25:45.21" personId="{3A570543-CE0C-4FE9-92C2-995D0228DD10}" id="{E66A2AF1-746B-40D2-98D5-98BA018544AD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203" dT="2025-10-11T09:25:45.21" personId="{3A570543-CE0C-4FE9-92C2-995D0228DD10}" id="{0E590184-4A73-489A-B222-43832AB8F886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204" dT="2025-10-11T09:25:45.21" personId="{3A570543-CE0C-4FE9-92C2-995D0228DD10}" id="{F2209157-22F3-4D31-8244-808320649112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204" dT="2025-10-11T09:25:45.21" personId="{3A570543-CE0C-4FE9-92C2-995D0228DD10}" id="{79EA48AA-1E79-4009-AE2B-D2DC6DEA9B76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K205" dT="2025-10-11T09:25:45.21" personId="{3A570543-CE0C-4FE9-92C2-995D0228DD10}" id="{68A6779E-6F37-4C21-82FD-09D44A7B6D1E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L205" dT="2025-10-11T09:25:45.21" personId="{3A570543-CE0C-4FE9-92C2-995D0228DD10}" id="{86AA9885-75D0-4781-BF1B-C005863812F0}">
    <text>Start-up time” for solar thermal collectors generally is the time after sunlight becomes available until the collector (or fluid) reaches a useful temperature rise or some defined steady or design state. 
The transient heating process is continuous (no “off/off” to “on” switch) and depends strongly on ambient irradiance, thermal mass, flow conditions, etc. 
-&gt; un valore generico di start up non è quantificabile.</text>
  </threadedComment>
  <threadedComment ref="N207" dT="2025-12-10T14:17:48.54" personId="{3A570543-CE0C-4FE9-92C2-995D0228DD10}" id="{A73D1914-5346-47A4-AB59-EA9ACF158D0A}">
    <text>UDM: $/kW</text>
  </threadedComment>
  <threadedComment ref="T207" dT="2026-01-17T14:48:24.40" personId="{3A570543-CE0C-4FE9-92C2-995D0228DD10}" id="{9C26B832-57EE-49DB-A82F-A41061909152}">
    <text>0.000513 k$/MWh (variable)
0.005 k$/MWh (RTE losses)</text>
  </threadedComment>
  <threadedComment ref="T208" dT="2026-01-17T14:48:24.40" personId="{3A570543-CE0C-4FE9-92C2-995D0228DD10}" id="{8A475829-732A-416A-948B-BE5A2332EA55}">
    <text>0.000513 k$/MWh (variable)
0.005 k$/MWh (RTE losses)</text>
  </threadedComment>
  <threadedComment ref="T209" dT="2026-01-17T14:48:24.40" personId="{3A570543-CE0C-4FE9-92C2-995D0228DD10}" id="{99DFE2A9-BC1E-48B4-8723-48A882ABBAAF}">
    <text>0.000513 k$/MWh (variable)
0.005 k$/MWh (RTE losses)</text>
  </threadedComment>
  <threadedComment ref="T210" dT="2026-01-17T14:48:24.40" personId="{3A570543-CE0C-4FE9-92C2-995D0228DD10}" id="{76EB5FFB-0BEB-40AA-8D2C-67926F330B7D}">
    <text>0.000513 k$/MWh (variable)
0.005 k$/MWh (RTE losses)</text>
  </threadedComment>
  <threadedComment ref="T211" dT="2026-01-17T14:48:24.40" personId="{3A570543-CE0C-4FE9-92C2-995D0228DD10}" id="{6D6E8F8E-790A-4966-8FD0-644DA94CE5D9}">
    <text>0.000513 k$/MWh (variable)
0.005 k$/MWh (RTE losses)</text>
  </threadedComment>
  <threadedComment ref="T212" dT="2026-01-17T14:48:24.40" personId="{3A570543-CE0C-4FE9-92C2-995D0228DD10}" id="{F3ED8D56-6C96-43EB-9722-D537E2557850}">
    <text>0.000513 k$/MWh (variable)
0.005 k$/MWh (RTE losses)</text>
  </threadedComment>
  <threadedComment ref="T213" dT="2026-01-17T14:48:24.40" personId="{3A570543-CE0C-4FE9-92C2-995D0228DD10}" id="{C2695944-3625-4897-8BB1-2053D8C355D5}">
    <text>0.000513 k$/MWh (variable)
0.005 k$/MWh (RTE losses)</text>
  </threadedComment>
  <threadedComment ref="T214" dT="2026-01-17T14:48:24.40" personId="{3A570543-CE0C-4FE9-92C2-995D0228DD10}" id="{BAA01088-D221-4B4F-90B7-E864B0104B9A}">
    <text>0.000513 k$/MWh (variable)
0.005 k$/MWh (RTE losses)</text>
  </threadedComment>
  <threadedComment ref="T215" dT="2026-01-17T14:48:24.40" personId="{3A570543-CE0C-4FE9-92C2-995D0228DD10}" id="{EA4FF635-C160-4275-858B-2ADEB981DCB9}">
    <text>0.000513 k$/MWh (variable)
0.005 k$/MWh (RTE losses)</text>
  </threadedComment>
  <threadedComment ref="T216" dT="2026-01-17T14:48:24.40" personId="{3A570543-CE0C-4FE9-92C2-995D0228DD10}" id="{5A6CE5A6-7A86-4DEA-B0D3-7D87D6303390}">
    <text>0.000513 k$/MWh (variable)
0.005 k$/MWh (RTE losses)</text>
  </threadedComment>
  <threadedComment ref="T217" dT="2026-01-17T14:48:24.40" personId="{3A570543-CE0C-4FE9-92C2-995D0228DD10}" id="{5849B4AC-185C-4B87-ACF6-0E69CDD461BE}">
    <text>0.000513 k$/MWh (variable)
0.005 k$/MWh (RTE losses)</text>
  </threadedComment>
  <threadedComment ref="T218" dT="2026-01-17T14:48:24.40" personId="{3A570543-CE0C-4FE9-92C2-995D0228DD10}" id="{EEE53795-E0E9-4AE4-86C7-7A3ACFB6368E}">
    <text>0.000513 k$/MWh (variable)
0.005 k$/MWh (RTE losses)</text>
  </threadedComment>
  <threadedComment ref="P222" dT="2025-09-19T15:27:19.94" personId="{3A570543-CE0C-4FE9-92C2-995D0228DD10}" id="{4981C360-2825-4AC6-B619-3DF046B00DD9}">
    <text>Simile ai 500 $/kg_H2 presentato in “Optimal design of fully renewable and dispatchable power plants with hydrogen seasonal storage” a cui ha lavorato il Professore.
La fonte è la stessa ma 500 corrisponde al report del 2015, mentre 403 corrisponde al report del 2023-24.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0" dT="2025-11-20T12:47:33.77" personId="{3A570543-CE0C-4FE9-92C2-995D0228DD10}" id="{F1D7B8C3-ACD1-4FE8-9959-F7D0BADE109B}">
    <text>For Pellet: 282 €/ton -&gt; (LHV = 5 kWh/kg) -&gt; 0.282 €/kg /LHV -&gt;
Cost of pellet = 0.0564 €/kWh</text>
  </threadedComment>
  <threadedComment ref="E45" dT="2025-11-20T13:55:09.85" personId="{3A570543-CE0C-4FE9-92C2-995D0228DD10}" id="{38322B33-C581-4582-AD5C-61F49A5A8544}">
    <text>For Wood chips: 9.4 €/GJ -&gt; (1 GJ = 277.78 kWh) -&gt; 0.0338 €/kWh</text>
  </threadedComment>
  <threadedComment ref="E53" dT="2025-11-20T12:47:33.77" personId="{3A570543-CE0C-4FE9-92C2-995D0228DD10}" id="{495CE0BC-2D48-4299-AB0F-AD292A8C302D}">
    <text>For Pellet: 282 €/ton -&gt; (LHV = 5 kWh/kg) -&gt; 0.282 €/kg /LHV -&gt;
Cost of pellet = 0.0564 €/kWh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22" dT="2025-10-18T10:16:29.36" personId="{3A570543-CE0C-4FE9-92C2-995D0228DD10}" id="{D9B3A655-890E-4D97-8E84-D90B389FCE04}">
    <text>Molto dettagliato in divisione costi per categoria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ottish-enterprise.com/media/jftj41sz/heat-pumps-and-heating-systems-components-analysis.pdf" TargetMode="External"/><Relationship Id="rId117" Type="http://schemas.openxmlformats.org/officeDocument/2006/relationships/hyperlink" Target="https://www.airsolutioncompany.com/process-chillers-condensing-coil-maintenance/" TargetMode="External"/><Relationship Id="rId21" Type="http://schemas.openxmlformats.org/officeDocument/2006/relationships/hyperlink" Target="https://www.pickhvac.com/how-long-do-heat-pumps-last-lifespan-costs-maintenance/" TargetMode="External"/><Relationship Id="rId42" Type="http://schemas.openxmlformats.org/officeDocument/2006/relationships/hyperlink" Target="https://www.hydrogen.energy.gov/docs/hydrogenprogramlibraries/pdfs/24005-clean-hydrogen-production-cost-pem-electrolyzer.pdf" TargetMode="External"/><Relationship Id="rId47" Type="http://schemas.openxmlformats.org/officeDocument/2006/relationships/hyperlink" Target="https://ilfocolaregroup.it/shop/en/254-pellet-boilers-spare-parts" TargetMode="External"/><Relationship Id="rId63" Type="http://schemas.openxmlformats.org/officeDocument/2006/relationships/hyperlink" Target="https://www.daelimtransformer.com/transformer-lifespan.html" TargetMode="External"/><Relationship Id="rId68" Type="http://schemas.openxmlformats.org/officeDocument/2006/relationships/hyperlink" Target="https://repositorium.uminho.pt/server/api/core/bitstreams/57b3cea7-eaa8-48ca-8892-740131feb189/content" TargetMode="External"/><Relationship Id="rId84" Type="http://schemas.openxmlformats.org/officeDocument/2006/relationships/hyperlink" Target="https://docs.nrel.gov/docs/fy20osti/75763.pdf" TargetMode="External"/><Relationship Id="rId89" Type="http://schemas.openxmlformats.org/officeDocument/2006/relationships/hyperlink" Target="https://www.alfalaval.com/service-and-support/product-services/plate-heat-exchanger-services/" TargetMode="External"/><Relationship Id="rId112" Type="http://schemas.openxmlformats.org/officeDocument/2006/relationships/hyperlink" Target="https://www.ineris.fr/sites/default/files/contribution/Documents/Ineris-206731-2736278-Deliverable%20L6.3%20of%20the%20ROSTOCK-H%20project%20v1.pdf" TargetMode="External"/><Relationship Id="rId16" Type="http://schemas.openxmlformats.org/officeDocument/2006/relationships/hyperlink" Target="https://www.ehpa.org/wp-content/uploads/2023/06/Heat-Pump-Key-Facts-May-2023_compressed.pdf" TargetMode="External"/><Relationship Id="rId107" Type="http://schemas.openxmlformats.org/officeDocument/2006/relationships/hyperlink" Target="https://www.mdpi.com/1996-1073/17/1/22" TargetMode="External"/><Relationship Id="rId11" Type="http://schemas.openxmlformats.org/officeDocument/2006/relationships/hyperlink" Target="https://www.heat-tec.com/what-is-the-life-expectancy-of-a-commercial-boiler/" TargetMode="External"/><Relationship Id="rId32" Type="http://schemas.openxmlformats.org/officeDocument/2006/relationships/hyperlink" Target="https://www.irena.org/-/media/Files/IRENA/Agency/Publication/2013/IRENA-ETSAP-Tech-Brief-E12-Heat-Pumps.pdf" TargetMode="External"/><Relationship Id="rId37" Type="http://schemas.openxmlformats.org/officeDocument/2006/relationships/hyperlink" Target="https://greenskillsforhydrogen.eu/wp-content/uploads/2024/07/2024-Juni-4-V03-Masterclass-WHB_-Greenskill4h2_Green-Hydrogen-Cost-and-reduction.pdf" TargetMode="External"/><Relationship Id="rId53" Type="http://schemas.openxmlformats.org/officeDocument/2006/relationships/hyperlink" Target="https://www.hbenergy.com/blog/heating-service/some-common-pellet-stove-problems/" TargetMode="External"/><Relationship Id="rId58" Type="http://schemas.openxmlformats.org/officeDocument/2006/relationships/hyperlink" Target="https://www.seai.ie/sites/default/files/publications/Biomass-Operations-and-Maintenance-Guide.pdf" TargetMode="External"/><Relationship Id="rId74" Type="http://schemas.openxmlformats.org/officeDocument/2006/relationships/hyperlink" Target="https://www.pnnl.gov/projects/om-best-practices/onsite-wind-turbines" TargetMode="External"/><Relationship Id="rId79" Type="http://schemas.openxmlformats.org/officeDocument/2006/relationships/hyperlink" Target="https://solarthermalworld.org/wp-content/uploads/2016/01/estif_standardisation_2012.pdf?x32997=&amp;" TargetMode="External"/><Relationship Id="rId102" Type="http://schemas.openxmlformats.org/officeDocument/2006/relationships/hyperlink" Target="https://it.scribd.com/document/943251487/Hvac-Manual" TargetMode="External"/><Relationship Id="rId5" Type="http://schemas.openxmlformats.org/officeDocument/2006/relationships/hyperlink" Target="https://www.sciencedirect.com/science/article/abs/pii/S030626192301228X" TargetMode="External"/><Relationship Id="rId90" Type="http://schemas.openxmlformats.org/officeDocument/2006/relationships/hyperlink" Target="https://www3.epa.gov/ttn/ecas/docs/SCRCostManualchapter7thEdition_2016.pdf" TargetMode="External"/><Relationship Id="rId95" Type="http://schemas.openxmlformats.org/officeDocument/2006/relationships/hyperlink" Target="https://www.wartsila.com/energy/engine-power-plant-solutions/lifecycle-services" TargetMode="External"/><Relationship Id="rId22" Type="http://schemas.openxmlformats.org/officeDocument/2006/relationships/hyperlink" Target="https://www.21degrees.com/guides/air-source-heat-pump-maintenance-checklist/" TargetMode="External"/><Relationship Id="rId27" Type="http://schemas.openxmlformats.org/officeDocument/2006/relationships/hyperlink" Target="https://webthesis.biblio.polito.it/24223/1/tesi.pdf" TargetMode="External"/><Relationship Id="rId43" Type="http://schemas.openxmlformats.org/officeDocument/2006/relationships/hyperlink" Target="https://www.nlr.gov/docs/libraries/hydrogen/h2a-pem-electrolysis-case-study-documentation0f186255-54ca-48ce-8a7b-647c61a9aa64.pdf?sfvrsn=c1fd332b_1" TargetMode="External"/><Relationship Id="rId48" Type="http://schemas.openxmlformats.org/officeDocument/2006/relationships/hyperlink" Target="https://www.hbenergy.com/blog/heating-service/some-common-pellet-stove-problems/" TargetMode="External"/><Relationship Id="rId64" Type="http://schemas.openxmlformats.org/officeDocument/2006/relationships/hyperlink" Target="https://www.sciencedirect.com/science/article/pii/S2405844024129374" TargetMode="External"/><Relationship Id="rId69" Type="http://schemas.openxmlformats.org/officeDocument/2006/relationships/hyperlink" Target="https://topsectorenergie.nl/documents/335/20220414_RAP_DNV_Lifetime_extension_and_optimal_lifecycle_offshore_wind_turbin_tUf1Zv2.pdf" TargetMode="External"/><Relationship Id="rId113" Type="http://schemas.openxmlformats.org/officeDocument/2006/relationships/hyperlink" Target="https://open-research-europe.ec.europa.eu/articles/4-17" TargetMode="External"/><Relationship Id="rId118" Type="http://schemas.openxmlformats.org/officeDocument/2006/relationships/hyperlink" Target="https://chillerone.com/chiller-lifespan/" TargetMode="External"/><Relationship Id="rId80" Type="http://schemas.openxmlformats.org/officeDocument/2006/relationships/hyperlink" Target="https://www.cedengineering.com/userfiles/Intro%20to%20Solar%20Collectors.pdf" TargetMode="External"/><Relationship Id="rId85" Type="http://schemas.openxmlformats.org/officeDocument/2006/relationships/hyperlink" Target="https://docs.nrel.gov/docs/fy24osti/89036.pdf" TargetMode="External"/><Relationship Id="rId12" Type="http://schemas.openxmlformats.org/officeDocument/2006/relationships/hyperlink" Target="https://www.mdpi.com/1996-1073/14/13/4048" TargetMode="External"/><Relationship Id="rId17" Type="http://schemas.openxmlformats.org/officeDocument/2006/relationships/hyperlink" Target="https://www.irena.org/-/media/Files/IRENA/Agency/Publication/2022/Nov/IRENA_Heat_Pumps_Costs_Markets_2022.pdf" TargetMode="External"/><Relationship Id="rId33" Type="http://schemas.openxmlformats.org/officeDocument/2006/relationships/hyperlink" Target="https://www.google.com/search?q=https://iea-etsap.org/E-TechDS/PDF/E10-Electrolysis-GS-AD-gct.pdf" TargetMode="External"/><Relationship Id="rId38" Type="http://schemas.openxmlformats.org/officeDocument/2006/relationships/hyperlink" Target="https://www.eiga.eu/uploads/documents/DOC246.pdf" TargetMode="External"/><Relationship Id="rId59" Type="http://schemas.openxmlformats.org/officeDocument/2006/relationships/hyperlink" Target="https://ir.canterbury.ac.nz/server/api/core/bitstreams/694ac12f-4778-4850-8ca9-8fa49bc33f49/content" TargetMode="External"/><Relationship Id="rId103" Type="http://schemas.openxmlformats.org/officeDocument/2006/relationships/hyperlink" Target="https://www.oxmaint.com/checklist-center/procedure/chiller-daikin-vapor-absorption-wht-yearly-checklist" TargetMode="External"/><Relationship Id="rId108" Type="http://schemas.openxmlformats.org/officeDocument/2006/relationships/hyperlink" Target="https://www.researchgate.net/publication/396176064_Advances_in_Type_IV_Tanks_for_Safe_Hydrogen_Storage_Materials_Technologies_and_Challenges" TargetMode="External"/><Relationship Id="rId54" Type="http://schemas.openxmlformats.org/officeDocument/2006/relationships/hyperlink" Target="https://warmflow.fra1.cdn.digitaloceanspaces.com/uploads/Wood-Pellet-Boiler-Manual.pdf" TargetMode="External"/><Relationship Id="rId70" Type="http://schemas.openxmlformats.org/officeDocument/2006/relationships/hyperlink" Target="https://phmsociety.org/wp-content/uploads/2013/06/PHM-for-Wind-Energy-Tugan-Eritenel.pdf" TargetMode="External"/><Relationship Id="rId75" Type="http://schemas.openxmlformats.org/officeDocument/2006/relationships/hyperlink" Target="https://www.mdpi.com/1996-1073/18/23/6369" TargetMode="External"/><Relationship Id="rId91" Type="http://schemas.openxmlformats.org/officeDocument/2006/relationships/hyperlink" Target="https://www.epa.gov/power-sector-modeling/retrofit-cost-analyzer" TargetMode="External"/><Relationship Id="rId96" Type="http://schemas.openxmlformats.org/officeDocument/2006/relationships/hyperlink" Target="https://www.neiaap.org/article/battery-storage-system-prices-continue-to-fall-sharply-bnef-and-ember-reports-find" TargetMode="External"/><Relationship Id="rId1" Type="http://schemas.openxmlformats.org/officeDocument/2006/relationships/hyperlink" Target="https://www.researchgate.net/publication/390687407_Techno-Economic_Analysis_on_Implementing_Hydrogen_in_a_Combined_Heat_and_Power_Plant_in_Luxembourg_to_Reduce_Carbon_Emissions" TargetMode="External"/><Relationship Id="rId6" Type="http://schemas.openxmlformats.org/officeDocument/2006/relationships/hyperlink" Target="https://iea-etsap.org/E-TechDS/PDF/I01-ind_boilers-GS-AD-gct.pdf" TargetMode="External"/><Relationship Id="rId23" Type="http://schemas.openxmlformats.org/officeDocument/2006/relationships/hyperlink" Target="https://www.epa.gov/sites/default/files/2023-10/heat-pumps-in-water-wastewater-sector_webinar.pdf" TargetMode="External"/><Relationship Id="rId28" Type="http://schemas.openxmlformats.org/officeDocument/2006/relationships/hyperlink" Target="https://www.researchgate.net/figure/Cost-breakdown-into-equipment-non-equipment-costs-for-a-GSHP-system_fig2_350478678" TargetMode="External"/><Relationship Id="rId49" Type="http://schemas.openxmlformats.org/officeDocument/2006/relationships/hyperlink" Target="https://warmflow.fra1.cdn.digitaloceanspaces.com/uploads/Wood-Pellet-Boiler-Manual.pdf" TargetMode="External"/><Relationship Id="rId114" Type="http://schemas.openxmlformats.org/officeDocument/2006/relationships/hyperlink" Target="https://activeair.com.au/wp-content/uploads/2021/09/Chiller-Maintenance-Checklist.pdf" TargetMode="External"/><Relationship Id="rId119" Type="http://schemas.openxmlformats.org/officeDocument/2006/relationships/drawing" Target="../drawings/drawing1.xml"/><Relationship Id="rId10" Type="http://schemas.openxmlformats.org/officeDocument/2006/relationships/hyperlink" Target="https://birmingham-commercial-appliance-repairs.co.uk/how-long-does-a-boiler-last-lifespan-signs-to-replace-maintenance-tips" TargetMode="External"/><Relationship Id="rId31" Type="http://schemas.openxmlformats.org/officeDocument/2006/relationships/hyperlink" Target="https://thundersaidenergy.com/downloads/ground-source-heat-pumps-the-economics/" TargetMode="External"/><Relationship Id="rId44" Type="http://schemas.openxmlformats.org/officeDocument/2006/relationships/hyperlink" Target="https://ipm.cahnr.uconn.edu/documents/raw_file/biomass-standards/" TargetMode="External"/><Relationship Id="rId52" Type="http://schemas.openxmlformats.org/officeDocument/2006/relationships/hyperlink" Target="https://ilfocolaregroup.it/shop/en/254-pellet-boilers-spare-parts" TargetMode="External"/><Relationship Id="rId60" Type="http://schemas.openxmlformats.org/officeDocument/2006/relationships/hyperlink" Target="https://uccenvironmental.com/technologies/ash-and-material-handling/" TargetMode="External"/><Relationship Id="rId65" Type="http://schemas.openxmlformats.org/officeDocument/2006/relationships/hyperlink" Target="https://valsaeng.co.za/wp-content/uploads/2025/07/Single-Axis-Tracker-Sat-Contorl-STL36-Solar-Tracker-overview.pdf" TargetMode="External"/><Relationship Id="rId73" Type="http://schemas.openxmlformats.org/officeDocument/2006/relationships/hyperlink" Target="https://pure.tudelft.nl/ws/portalfiles/portal/125395850/1_s2.0_S1364032122004774_main.pdf" TargetMode="External"/><Relationship Id="rId78" Type="http://schemas.openxmlformats.org/officeDocument/2006/relationships/hyperlink" Target="https://docs.nrel.gov/docs/fy16osti/66215.pdf" TargetMode="External"/><Relationship Id="rId81" Type="http://schemas.openxmlformats.org/officeDocument/2006/relationships/hyperlink" Target="https://en.wikipedia.org/wiki/Solar_thermal_collector" TargetMode="External"/><Relationship Id="rId86" Type="http://schemas.openxmlformats.org/officeDocument/2006/relationships/hyperlink" Target="https://www.solarpaces.org/wp-content/uploads/2024/02/Blue-Book-of-Chinas-Concentrating-Solar-Power-Industry-2023.pdf" TargetMode="External"/><Relationship Id="rId94" Type="http://schemas.openxmlformats.org/officeDocument/2006/relationships/hyperlink" Target="https://www.wartsila.com/energy/engine-power-plant-solutions/engine-power-plant-products" TargetMode="External"/><Relationship Id="rId99" Type="http://schemas.openxmlformats.org/officeDocument/2006/relationships/hyperlink" Target="https://docs.nlr.gov/docs/fy22osti/82956.pdf" TargetMode="External"/><Relationship Id="rId101" Type="http://schemas.openxmlformats.org/officeDocument/2006/relationships/hyperlink" Target="https://www.copowbattery.com/news/what-is-a-battery-energy-storage-system-85280965.html" TargetMode="External"/><Relationship Id="rId4" Type="http://schemas.openxmlformats.org/officeDocument/2006/relationships/hyperlink" Target="https://www.researchgate.net/publication/389008620_Maintenance_costs_of_Solid_Oxide_Fuel_Cell_SOFC_module" TargetMode="External"/><Relationship Id="rId9" Type="http://schemas.openxmlformats.org/officeDocument/2006/relationships/hyperlink" Target="https://www.makeboiler.com/it/boiler-lifespan-comparison-gas-electric-oil/" TargetMode="External"/><Relationship Id="rId13" Type="http://schemas.openxmlformats.org/officeDocument/2006/relationships/hyperlink" Target="https://www.sciencedirect.com/science/article/abs/pii/S0378775322002737" TargetMode="External"/><Relationship Id="rId18" Type="http://schemas.openxmlformats.org/officeDocument/2006/relationships/hyperlink" Target="https://www.scottish-enterprise.com/media/jftj41sz/heat-pumps-and-heating-systems-components-analysis.pdf" TargetMode="External"/><Relationship Id="rId39" Type="http://schemas.openxmlformats.org/officeDocument/2006/relationships/hyperlink" Target="https://www.google.com/search?q=https://www.energy.gov/eere/fuelcells/h2a-model-and-analysis" TargetMode="External"/><Relationship Id="rId109" Type="http://schemas.openxmlformats.org/officeDocument/2006/relationships/hyperlink" Target="https://h2tools.org/bestpractices/maintenance-and-inspection/maintenance-requirements-for-vessels" TargetMode="External"/><Relationship Id="rId34" Type="http://schemas.openxmlformats.org/officeDocument/2006/relationships/hyperlink" Target="https://www.irena.org/-/media/Files/IRENA/Agency/Publication/2020/Dec/IRENA_Green_hydrogen_cost_2020.pdf" TargetMode="External"/><Relationship Id="rId50" Type="http://schemas.openxmlformats.org/officeDocument/2006/relationships/hyperlink" Target="https://www.seai.ie/sites/default/files/publications/Biomass-Boilers-Implementation-Guide.pdf" TargetMode="External"/><Relationship Id="rId55" Type="http://schemas.openxmlformats.org/officeDocument/2006/relationships/hyperlink" Target="https://ipm.cahnr.uconn.edu/documents/raw_file/biomass-standards/" TargetMode="External"/><Relationship Id="rId76" Type="http://schemas.openxmlformats.org/officeDocument/2006/relationships/hyperlink" Target="https://www.sciencedirect.com/science/article/abs/pii/S0951832023002211" TargetMode="External"/><Relationship Id="rId97" Type="http://schemas.openxmlformats.org/officeDocument/2006/relationships/hyperlink" Target="https://www.beny.com/battery-energy-storage-system-cost/" TargetMode="External"/><Relationship Id="rId104" Type="http://schemas.openxmlformats.org/officeDocument/2006/relationships/hyperlink" Target="https://studylib.net/doc/28036960/recommended-practice-obsolescence-management-for-automati" TargetMode="External"/><Relationship Id="rId7" Type="http://schemas.openxmlformats.org/officeDocument/2006/relationships/hyperlink" Target="https://www.dabonn.com/news/blog/33.html" TargetMode="External"/><Relationship Id="rId71" Type="http://schemas.openxmlformats.org/officeDocument/2006/relationships/hyperlink" Target="https://www.mdpi.com/2411-5134/10/6/95" TargetMode="External"/><Relationship Id="rId92" Type="http://schemas.openxmlformats.org/officeDocument/2006/relationships/hyperlink" Target="https://dieselnet.com/tech/cat_scr_diesel.php" TargetMode="External"/><Relationship Id="rId2" Type="http://schemas.openxmlformats.org/officeDocument/2006/relationships/hyperlink" Target="https://www.mdpi.com/1996-1073/16/1/404" TargetMode="External"/><Relationship Id="rId29" Type="http://schemas.openxmlformats.org/officeDocument/2006/relationships/hyperlink" Target="https://www.irena.org/-/media/Files/IRENA/Agency/Publication/2022/Nov/IRENA_Heat_Pumps_Costs_Markets_2022.pdf" TargetMode="External"/><Relationship Id="rId24" Type="http://schemas.openxmlformats.org/officeDocument/2006/relationships/hyperlink" Target="https://www.sciencedirect.com/science/article/abs/pii/S0378778814005118" TargetMode="External"/><Relationship Id="rId40" Type="http://schemas.openxmlformats.org/officeDocument/2006/relationships/hyperlink" Target="https://docs.nrel.gov/docs/fy24osti/87625.pdf" TargetMode="External"/><Relationship Id="rId45" Type="http://schemas.openxmlformats.org/officeDocument/2006/relationships/hyperlink" Target="https://www.seai.ie/sites/default/files/publications/Biomass-Boilers-Implementation-Guide.pdf" TargetMode="External"/><Relationship Id="rId66" Type="http://schemas.openxmlformats.org/officeDocument/2006/relationships/hyperlink" Target="https://docs.nrel.gov/docs/fy25osti/91775.pdf" TargetMode="External"/><Relationship Id="rId87" Type="http://schemas.openxmlformats.org/officeDocument/2006/relationships/hyperlink" Target="https://turbivap.com.br/how-often-steam-turbine-maintenance/" TargetMode="External"/><Relationship Id="rId110" Type="http://schemas.openxmlformats.org/officeDocument/2006/relationships/hyperlink" Target="https://assets.publishing.service.gov.uk/media/68aebcef3a052c9c504c8e60/The_geomechanics_of_hydrogen_storage_in_salt_caverns_-_environmental_considerations_-_report.pdf" TargetMode="External"/><Relationship Id="rId115" Type="http://schemas.openxmlformats.org/officeDocument/2006/relationships/hyperlink" Target="https://oxmaint.com/checklist/chiller.html" TargetMode="External"/><Relationship Id="rId61" Type="http://schemas.openxmlformats.org/officeDocument/2006/relationships/hyperlink" Target="https://www.researchgate.net/publication/319658976_Operation_and_maintenance_of_a_biomass_fired_-_Organic_Rankine_Cycle_-_CHP_plant_the_experience_of_Cremona" TargetMode="External"/><Relationship Id="rId82" Type="http://schemas.openxmlformats.org/officeDocument/2006/relationships/hyperlink" Target="https://docs.nrel.gov/docs/fy22osti/83041.pdf" TargetMode="External"/><Relationship Id="rId19" Type="http://schemas.openxmlformats.org/officeDocument/2006/relationships/hyperlink" Target="https://ma-eeac.org/wp-content/uploads/MA23X14-B-RHPINV-Residential-Heat-Pump-Invoice-Cost-Study-Web.pdf" TargetMode="External"/><Relationship Id="rId14" Type="http://schemas.openxmlformats.org/officeDocument/2006/relationships/hyperlink" Target="https://pure.manchester.ac.uk/ws/portalfiles/portal/54548470/FULL_TEXT.PDF" TargetMode="External"/><Relationship Id="rId30" Type="http://schemas.openxmlformats.org/officeDocument/2006/relationships/hyperlink" Target="https://www.irena.org/Publications/2022/Nov/Renewable-solutions-in-end-uses-Heat-pump-costs-and-markets" TargetMode="External"/><Relationship Id="rId35" Type="http://schemas.openxmlformats.org/officeDocument/2006/relationships/hyperlink" Target="https://ispt.eu/media/ISPT-public-report-gigawatt-green-hydrogen-plant.pdf" TargetMode="External"/><Relationship Id="rId56" Type="http://schemas.openxmlformats.org/officeDocument/2006/relationships/hyperlink" Target="https://www.mdpi.com/2077-1312/8/5/351" TargetMode="External"/><Relationship Id="rId77" Type="http://schemas.openxmlformats.org/officeDocument/2006/relationships/hyperlink" Target="https://iea-etsap.org/E-TechDS/PDF/T05_Solar_HC_GS_AD_gct.pdf" TargetMode="External"/><Relationship Id="rId100" Type="http://schemas.openxmlformats.org/officeDocument/2006/relationships/hyperlink" Target="https://atb.nrel.gov/electricity/2021/utility-scale_battery_storage/" TargetMode="External"/><Relationship Id="rId105" Type="http://schemas.openxmlformats.org/officeDocument/2006/relationships/hyperlink" Target="https://www.euautomation.com/uk/news/the-hidden-cost-of-plc-obsolescence" TargetMode="External"/><Relationship Id="rId8" Type="http://schemas.openxmlformats.org/officeDocument/2006/relationships/hyperlink" Target="https://www.boiler-systems.co.uk/how-long-should-a-boiler-last/" TargetMode="External"/><Relationship Id="rId51" Type="http://schemas.openxmlformats.org/officeDocument/2006/relationships/hyperlink" Target="https://www.atmos.eu/en/product/automatic-pellet-boilers/" TargetMode="External"/><Relationship Id="rId72" Type="http://schemas.openxmlformats.org/officeDocument/2006/relationships/hyperlink" Target="https://www.diva-portal.org/smash/get/diva2%3A1150387/FULLTEXT01.pdf" TargetMode="External"/><Relationship Id="rId93" Type="http://schemas.openxmlformats.org/officeDocument/2006/relationships/hyperlink" Target="https://www.wartsila.com/energy/learn-more/references" TargetMode="External"/><Relationship Id="rId98" Type="http://schemas.openxmlformats.org/officeDocument/2006/relationships/hyperlink" Target="https://www.hijoule.com/products/" TargetMode="External"/><Relationship Id="rId3" Type="http://schemas.openxmlformats.org/officeDocument/2006/relationships/hyperlink" Target="https://ieafuelcell.com/output/technology-reports/high-temperature-fuel-cell-solid-oxide-fuel-cell-sofc" TargetMode="External"/><Relationship Id="rId25" Type="http://schemas.openxmlformats.org/officeDocument/2006/relationships/hyperlink" Target="https://www.mdpi.com/1996-1073/17/13/3329" TargetMode="External"/><Relationship Id="rId46" Type="http://schemas.openxmlformats.org/officeDocument/2006/relationships/hyperlink" Target="https://www.atmos.eu/en/product/automatic-pellet-boilers/" TargetMode="External"/><Relationship Id="rId67" Type="http://schemas.openxmlformats.org/officeDocument/2006/relationships/hyperlink" Target="https://docs.nrel.gov/docs/fy24osti/88335.pdf" TargetMode="External"/><Relationship Id="rId116" Type="http://schemas.openxmlformats.org/officeDocument/2006/relationships/hyperlink" Target="https://www.enerquip.com/chiller-tube-maintenance-step-by-step-guide/" TargetMode="External"/><Relationship Id="rId20" Type="http://schemas.openxmlformats.org/officeDocument/2006/relationships/hyperlink" Target="https://www.energy.vic.gov.au/__data/assets/pdf_file/0029/710669/Commercial-and-industrial-heat-pump-water-heaters-technical-guidelines.pdf" TargetMode="External"/><Relationship Id="rId41" Type="http://schemas.openxmlformats.org/officeDocument/2006/relationships/hyperlink" Target="https://ispt.eu/media/ISPT-public-report-gigawatt-green-hydrogen-plant.pdf" TargetMode="External"/><Relationship Id="rId62" Type="http://schemas.openxmlformats.org/officeDocument/2006/relationships/hyperlink" Target="https://www.mdpi.com/2071-1050/16/9/3880" TargetMode="External"/><Relationship Id="rId83" Type="http://schemas.openxmlformats.org/officeDocument/2006/relationships/hyperlink" Target="https://www.diva-portal.org/smash/get/diva2%3A971712/FULLTEXT01.pdf" TargetMode="External"/><Relationship Id="rId88" Type="http://schemas.openxmlformats.org/officeDocument/2006/relationships/hyperlink" Target="https://ingenius.ups.edu.ec/index.php/ingenius/article/view/21.2019.04/3048" TargetMode="External"/><Relationship Id="rId111" Type="http://schemas.openxmlformats.org/officeDocument/2006/relationships/hyperlink" Target="https://www.mdpi.com/2071-1050/17/13/5900" TargetMode="External"/><Relationship Id="rId15" Type="http://schemas.openxmlformats.org/officeDocument/2006/relationships/hyperlink" Target="https://www.rehva.eu/rehva-journal/chapter/air-to-water-heat-pump-in-heating-system" TargetMode="External"/><Relationship Id="rId36" Type="http://schemas.openxmlformats.org/officeDocument/2006/relationships/hyperlink" Target="https://docs.nrel.gov/docs/fy24osti/87625.pdf" TargetMode="External"/><Relationship Id="rId57" Type="http://schemas.openxmlformats.org/officeDocument/2006/relationships/hyperlink" Target="https://www.seai.ie/sites/default/files/grants/business-grants/support-scheme-renewable-heat/Biomass-CHP-Operation-Maintenance-Guide.pdf" TargetMode="External"/><Relationship Id="rId106" Type="http://schemas.openxmlformats.org/officeDocument/2006/relationships/hyperlink" Target="https://docs.nrel.gov/docs/fy24osti/89036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ea-etsap.org/E-TechDS/PDF/R02%20Heating%20and%20cooling%20FINAL_GSOK.pdf" TargetMode="External"/><Relationship Id="rId13" Type="http://schemas.openxmlformats.org/officeDocument/2006/relationships/hyperlink" Target="https://www.ashrae.org/technical-resources/ashrae-handbook" TargetMode="External"/><Relationship Id="rId18" Type="http://schemas.openxmlformats.org/officeDocument/2006/relationships/hyperlink" Target="https://www.researchgate.net/publication/321682272_Future_cost_and_performance_of_water_electrolysis_An_expert_elicitation_study" TargetMode="External"/><Relationship Id="rId26" Type="http://schemas.openxmlformats.org/officeDocument/2006/relationships/hyperlink" Target="https://www.researchgate.net/publication/389008620_Maintenance_costs_of_Solid_Oxide_Fuel_Cell_SOFC_module" TargetMode="External"/><Relationship Id="rId3" Type="http://schemas.openxmlformats.org/officeDocument/2006/relationships/hyperlink" Target="https://nachhaltigwirtschaften.at/resources/iea_pdf/reports/iea_bioenergy_task32_tea_chp_applications_2015.pdf" TargetMode="External"/><Relationship Id="rId21" Type="http://schemas.openxmlformats.org/officeDocument/2006/relationships/hyperlink" Target="https://www.alpha-innotec.com/en/knowledge-base/heat-pump-knowledge-center/heat-pump-care-and-maintenance" TargetMode="External"/><Relationship Id="rId7" Type="http://schemas.openxmlformats.org/officeDocument/2006/relationships/hyperlink" Target="https://s3-eu-west-1.amazonaws.com/static.wm3.se/sites/400/media/516201_Report-on-performance-efficiency-security-ORC-2020.pdf?1606723986=&amp;" TargetMode="External"/><Relationship Id="rId12" Type="http://schemas.openxmlformats.org/officeDocument/2006/relationships/hyperlink" Target="https://betterbuildingssolutioncenter.energy.gov/resources/ansiashraeacca-standard-180-standard-practice-inspection-and-maintenance-commercial" TargetMode="External"/><Relationship Id="rId17" Type="http://schemas.openxmlformats.org/officeDocument/2006/relationships/hyperlink" Target="https://www.h2it.it/wp-content/uploads/2019/07/IEA2019_The_Future_of_Hydrogen-1.pdf" TargetMode="External"/><Relationship Id="rId25" Type="http://schemas.openxmlformats.org/officeDocument/2006/relationships/hyperlink" Target="https://www.mdpi.com/1996-1073/14/16/4963/htm" TargetMode="External"/><Relationship Id="rId2" Type="http://schemas.openxmlformats.org/officeDocument/2006/relationships/hyperlink" Target="https://coalbiomassboiler.com/industrial-biomass-boiler-costs/?utm_source=chatgpt.com" TargetMode="External"/><Relationship Id="rId16" Type="http://schemas.openxmlformats.org/officeDocument/2006/relationships/hyperlink" Target="https://www.iea.org/reports/the-future-of-hydrogen" TargetMode="External"/><Relationship Id="rId20" Type="http://schemas.openxmlformats.org/officeDocument/2006/relationships/hyperlink" Target="https://www.seai.ie/sites/default/files/publications/Heat-Pump-Operation-and-Maintenance-Guide.pdf" TargetMode="External"/><Relationship Id="rId29" Type="http://schemas.openxmlformats.org/officeDocument/2006/relationships/comments" Target="../comments3.xml"/><Relationship Id="rId1" Type="http://schemas.openxmlformats.org/officeDocument/2006/relationships/hyperlink" Target="https://publications.jrc.ec.europa.eu/repository/bitstream/JRC132896/JRC132896_01.pdf" TargetMode="External"/><Relationship Id="rId6" Type="http://schemas.openxmlformats.org/officeDocument/2006/relationships/hyperlink" Target="https://www.slideshare.net/slideshow/irena-renewable-power-generation-costs-report-2022/260292013" TargetMode="External"/><Relationship Id="rId11" Type="http://schemas.openxmlformats.org/officeDocument/2006/relationships/hyperlink" Target="https://www.energy.gov/femp/technical-operations-and-maintenance-guidelines-common-water-equipment" TargetMode="External"/><Relationship Id="rId24" Type="http://schemas.openxmlformats.org/officeDocument/2006/relationships/hyperlink" Target="https://heatpumpingtechnologies.org/publications/final-report-part-3-annex-32-economical-heating-and-cooling-systems-for-low-energy-houses/" TargetMode="External"/><Relationship Id="rId5" Type="http://schemas.openxmlformats.org/officeDocument/2006/relationships/hyperlink" Target="https://nachhaltigwirtschaften.at/resources/iea_pdf/reports/iea_bioenergy_task32_tea_chp_applications_2015.pdf" TargetMode="External"/><Relationship Id="rId15" Type="http://schemas.openxmlformats.org/officeDocument/2006/relationships/hyperlink" Target="https://www.researchgate.net/publication/319617417_Current_status_of_water_electrolysis_for_energy_storage_grid_balancing_and_sector_coupling_via_power-to-gas_and_power-to-liquids_A_review" TargetMode="External"/><Relationship Id="rId23" Type="http://schemas.openxmlformats.org/officeDocument/2006/relationships/hyperlink" Target="https://studylib.net/doc/8426696/best-practice-guide-heat-pump-technologies" TargetMode="External"/><Relationship Id="rId28" Type="http://schemas.openxmlformats.org/officeDocument/2006/relationships/vmlDrawing" Target="../drawings/vmlDrawing3.vml"/><Relationship Id="rId10" Type="http://schemas.openxmlformats.org/officeDocument/2006/relationships/hyperlink" Target="https://www.lg-b2b.ru/upload/iblock/041/3-absorbtsionnye-c-vodyanym-nagrevom-english-om.pdf" TargetMode="External"/><Relationship Id="rId19" Type="http://schemas.openxmlformats.org/officeDocument/2006/relationships/hyperlink" Target="https://link.springer.com/article/10.1007/s41471-021-00114-8" TargetMode="External"/><Relationship Id="rId4" Type="http://schemas.openxmlformats.org/officeDocument/2006/relationships/hyperlink" Target="https://coalbiomassboiler.com/industrial-biomass-boiler-costs/?utm_source=chatgpt.com" TargetMode="External"/><Relationship Id="rId9" Type="http://schemas.openxmlformats.org/officeDocument/2006/relationships/hyperlink" Target="https://www.ashrae.org/technical-resources/ashrae-handbook" TargetMode="External"/><Relationship Id="rId14" Type="http://schemas.openxmlformats.org/officeDocument/2006/relationships/hyperlink" Target="https://www.irena.org/publications/2020/Dec/Green-hydrogen-cost-reduction" TargetMode="External"/><Relationship Id="rId22" Type="http://schemas.openxmlformats.org/officeDocument/2006/relationships/hyperlink" Target="https://www.electricireland.ie/residential/products/heat-pump-solutions" TargetMode="External"/><Relationship Id="rId27" Type="http://schemas.openxmlformats.org/officeDocument/2006/relationships/drawing" Target="../drawings/drawing2.xml"/><Relationship Id="rId30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.springer.com/article/10.1007/s43937-024-00053-5" TargetMode="External"/><Relationship Id="rId21" Type="http://schemas.openxmlformats.org/officeDocument/2006/relationships/hyperlink" Target="https://www.eia.gov/analysis/studies/powerplants/capitalcost/pdf/capital_cost_aeo2020.pdf" TargetMode="External"/><Relationship Id="rId42" Type="http://schemas.openxmlformats.org/officeDocument/2006/relationships/hyperlink" Target="https://www.mdpi.com/1996-1073/16/3/1285" TargetMode="External"/><Relationship Id="rId63" Type="http://schemas.openxmlformats.org/officeDocument/2006/relationships/hyperlink" Target="https://innovaref.fi/pdf/RGW%20Ebara%20Steam%20chiller.pdf" TargetMode="External"/><Relationship Id="rId84" Type="http://schemas.openxmlformats.org/officeDocument/2006/relationships/hyperlink" Target="https://www.sciencedirect.com/science/article/pii/S0306261920311387" TargetMode="External"/><Relationship Id="rId138" Type="http://schemas.openxmlformats.org/officeDocument/2006/relationships/hyperlink" Target="https://www.kwb.net/fileadmin/media/EN/Technik_Planung_Anleitungen_PDF/KWB_T_P_EN_04_2025_Modul_E_Wood_chip_and_pellet_Heatings_system_20-150_kW.pdf" TargetMode="External"/><Relationship Id="rId159" Type="http://schemas.openxmlformats.org/officeDocument/2006/relationships/hyperlink" Target="https://cellar-c2.services.clever-cloud.com/com-mcphy/uploads/2020/08/20.05.McPhy_Portfolio_ELY_McLyzer_EN.pdf" TargetMode="External"/><Relationship Id="rId170" Type="http://schemas.openxmlformats.org/officeDocument/2006/relationships/hyperlink" Target="https://www.engineeringtoolbox.com/fuels-higher-calorific-values-d_169.html" TargetMode="External"/><Relationship Id="rId191" Type="http://schemas.openxmlformats.org/officeDocument/2006/relationships/hyperlink" Target="https://publications.jrc.ec.europa.eu/repository/bitstream/JRC125018/stationary_kpi_report_-_18052021_-_public_version_with_identifiers.pdf" TargetMode="External"/><Relationship Id="rId107" Type="http://schemas.openxmlformats.org/officeDocument/2006/relationships/hyperlink" Target="https://www.techniques-ingenieur.fr/en/resources/article/ti204/liquid-absorption-machines-be9735/v2/conclusion-6" TargetMode="External"/><Relationship Id="rId11" Type="http://schemas.openxmlformats.org/officeDocument/2006/relationships/hyperlink" Target="https://docs.nrel.gov/docs/fy21osti/79479.pdf" TargetMode="External"/><Relationship Id="rId32" Type="http://schemas.openxmlformats.org/officeDocument/2006/relationships/hyperlink" Target="https://www.lazard.com/media/uounhon4/lazards-lcoeplus-june-2025.pdf" TargetMode="External"/><Relationship Id="rId53" Type="http://schemas.openxmlformats.org/officeDocument/2006/relationships/hyperlink" Target="https://www.researchgate.net/publication/371582944_Rice_straw_for_energy_and_value-added_products_in_China_a_review" TargetMode="External"/><Relationship Id="rId74" Type="http://schemas.openxmlformats.org/officeDocument/2006/relationships/hyperlink" Target="https://scispace.com/pdf/the-transient-model-of-heat-pump-cycle-1lo8bp1uee.pdf" TargetMode="External"/><Relationship Id="rId128" Type="http://schemas.openxmlformats.org/officeDocument/2006/relationships/hyperlink" Target="https://task65.iea-shc.org/Data/Sites/1/publications/IEA-SHC-Task65-DC2.pdf" TargetMode="External"/><Relationship Id="rId149" Type="http://schemas.openxmlformats.org/officeDocument/2006/relationships/hyperlink" Target="https://convion.fi/wp-content/uploads/2023/09/Convion_C60_brochure_2023.pdf" TargetMode="External"/><Relationship Id="rId5" Type="http://schemas.openxmlformats.org/officeDocument/2006/relationships/hyperlink" Target="https://www.energy.gov/eere/fuelcells/technical-targets-liquid-alkaline-electrolysis" TargetMode="External"/><Relationship Id="rId95" Type="http://schemas.openxmlformats.org/officeDocument/2006/relationships/hyperlink" Target="https://www.wartsila.com/docs/default-source/power-plants-documents/downloads/white-papers/general/wartsila-district-heating-solutions.pdf" TargetMode="External"/><Relationship Id="rId160" Type="http://schemas.openxmlformats.org/officeDocument/2006/relationships/hyperlink" Target="https://ucpcdn.thyssenkrupp.com/_binary/UCPthyssenkruppBAISUhdeChlorineEngineers/en/products/water-electrolysis-hydrogen-production/alkaline-water-electrolysis/link-thyssenkrupp_Hydrogen_Water_Electrolysis_and_green_chemicals.pdf" TargetMode="External"/><Relationship Id="rId181" Type="http://schemas.openxmlformats.org/officeDocument/2006/relationships/hyperlink" Target="https://www.freeboilermanuals.com/assets/pdf/worcester_bosh/8000-life-1.pdf" TargetMode="External"/><Relationship Id="rId22" Type="http://schemas.openxmlformats.org/officeDocument/2006/relationships/hyperlink" Target="https://s29.q4cdn.com/452919417/files/doc_financials/2024/q2/Q224-Supplemental-Financial-Information.pdf" TargetMode="External"/><Relationship Id="rId43" Type="http://schemas.openxmlformats.org/officeDocument/2006/relationships/hyperlink" Target="https://www.scribner.com/wp-content/uploads/2017/06/Fuel-Cell-Start-up-Shut-down.pdf" TargetMode="External"/><Relationship Id="rId64" Type="http://schemas.openxmlformats.org/officeDocument/2006/relationships/hyperlink" Target="https://www.carriercca.com/pdf/products_pdf/16TJ-1PD.pdf" TargetMode="External"/><Relationship Id="rId118" Type="http://schemas.openxmlformats.org/officeDocument/2006/relationships/hyperlink" Target="https://www.mdpi.com/2673-8783/4/4/61" TargetMode="External"/><Relationship Id="rId139" Type="http://schemas.openxmlformats.org/officeDocument/2006/relationships/hyperlink" Target="https://en.kostrzewa.com.pl/products/mini-bio-ne" TargetMode="External"/><Relationship Id="rId85" Type="http://schemas.openxmlformats.org/officeDocument/2006/relationships/hyperlink" Target="https://www.nature.com/articles/s41598-023-48443-4" TargetMode="External"/><Relationship Id="rId150" Type="http://schemas.openxmlformats.org/officeDocument/2006/relationships/hyperlink" Target="https://bluegen.eu/wp-content/uploads/2022/09/Brochure_Bluegen_ENG_2022-09_v3_acc.pdf" TargetMode="External"/><Relationship Id="rId171" Type="http://schemas.openxmlformats.org/officeDocument/2006/relationships/hyperlink" Target="https://www.nusc.gov.tw/english/About-NSC/Establishment-of-a-High-Efficiency-Electric-Power-System-INER-s-1-kW-Solid-Oxide-Fuel-Cell-Power-System-20080811-195.html" TargetMode="External"/><Relationship Id="rId192" Type="http://schemas.openxmlformats.org/officeDocument/2006/relationships/hyperlink" Target="https://www.energy.gov/sites/prod/files/2018/02/f49/fcto_battelle_mfg_cost_analysis_100_250kw_pp_chp_fc_systems_jan2017.pdf" TargetMode="External"/><Relationship Id="rId12" Type="http://schemas.openxmlformats.org/officeDocument/2006/relationships/hyperlink" Target="https://docs.nrel.gov/docs/fy23osti/84745.pdf" TargetMode="External"/><Relationship Id="rId33" Type="http://schemas.openxmlformats.org/officeDocument/2006/relationships/hyperlink" Target="https://www.wartsila.com/energy/solutions/engine-power-plants/wartsila-34sg-gas-engine" TargetMode="External"/><Relationship Id="rId108" Type="http://schemas.openxmlformats.org/officeDocument/2006/relationships/hyperlink" Target="https://www.sciencedirect.com/science/article/pii/S2405844022011215" TargetMode="External"/><Relationship Id="rId129" Type="http://schemas.openxmlformats.org/officeDocument/2006/relationships/hyperlink" Target="https://www.mdpi.com/1996-1073/15/14/5287" TargetMode="External"/><Relationship Id="rId54" Type="http://schemas.openxmlformats.org/officeDocument/2006/relationships/hyperlink" Target="https://www.sciencedirect.com/science/article/abs/pii/S0960148119315769" TargetMode="External"/><Relationship Id="rId75" Type="http://schemas.openxmlformats.org/officeDocument/2006/relationships/hyperlink" Target="https://www.ice-air.com/wp-content/uploads/ICE6064-WSHP-CHPW-Manual.pdf" TargetMode="External"/><Relationship Id="rId96" Type="http://schemas.openxmlformats.org/officeDocument/2006/relationships/hyperlink" Target="https://www.clean-hydrogen.europa.eu/system/files/2022-02/Clean%20Hydrogen%20JU%20SRIA%20-%20approved%20by%20GB%20-%20clean%20for%20publication%20%28ID%2013246486%29.pdf" TargetMode="External"/><Relationship Id="rId140" Type="http://schemas.openxmlformats.org/officeDocument/2006/relationships/hyperlink" Target="https://www.combustion-engines.eu/pdf-142951-74319?filename=The+tests+of+micro_CHP.pdf" TargetMode="External"/><Relationship Id="rId161" Type="http://schemas.openxmlformats.org/officeDocument/2006/relationships/hyperlink" Target="https://www.finh2.fi/wp-content/uploads/highlights-of-alkaline-electrolyzer-development.pdf" TargetMode="External"/><Relationship Id="rId182" Type="http://schemas.openxmlformats.org/officeDocument/2006/relationships/hyperlink" Target="https://viessmanndirect.co.uk/files/6675e654-7cbc-417c-88b2-a70d01685823/Vitodens%20050%20BPJD%20Install%20and%20Service%20Manual.pdf?srsltid=AfmBOopSPWO5SNSqftyNHzbcjv2DSk3dFTZBkLNbWPClNnClTOXdsxWm&amp;" TargetMode="External"/><Relationship Id="rId6" Type="http://schemas.openxmlformats.org/officeDocument/2006/relationships/hyperlink" Target="https://docs.nrel.gov/docs/fy24osti/89648.pdf" TargetMode="External"/><Relationship Id="rId23" Type="http://schemas.openxmlformats.org/officeDocument/2006/relationships/hyperlink" Target="https://www.ladwp.com/sites/default/files/2025-03/Scattergood%20Moderniazation%20Alternative%20Study%20Final.pdf" TargetMode="External"/><Relationship Id="rId119" Type="http://schemas.openxmlformats.org/officeDocument/2006/relationships/hyperlink" Target="https://publications.jrc.ec.europa.eu/repository/bitstream/JRC130730/2022.5470_kjna31283enn.pdf" TargetMode="External"/><Relationship Id="rId44" Type="http://schemas.openxmlformats.org/officeDocument/2006/relationships/hyperlink" Target="https://www.sciencedirect.com/science/article/abs/pii/S0378775322004992" TargetMode="External"/><Relationship Id="rId65" Type="http://schemas.openxmlformats.org/officeDocument/2006/relationships/hyperlink" Target="https://supro-cooling.com/wp-content/uploads/2020/12/Supro-Absorptie-Chillers-eng.pdf" TargetMode="External"/><Relationship Id="rId86" Type="http://schemas.openxmlformats.org/officeDocument/2006/relationships/hyperlink" Target="https://www.mdpi.com/1996-1073/15/7/2676" TargetMode="External"/><Relationship Id="rId130" Type="http://schemas.openxmlformats.org/officeDocument/2006/relationships/hyperlink" Target="https://www.pnnl.gov/main/publications/external/technical_reports/PNNL-36057.pdf" TargetMode="External"/><Relationship Id="rId151" Type="http://schemas.openxmlformats.org/officeDocument/2006/relationships/hyperlink" Target="https://www.bloomenergy.com/wp-content/uploads/bloom-energy-server-datasheet-2024.pdf" TargetMode="External"/><Relationship Id="rId172" Type="http://schemas.openxmlformats.org/officeDocument/2006/relationships/hyperlink" Target="https://www.prnewswire.com/news-releases/thermal-electric-cogeneration-efficiency-of-92-55-ranks-first-in-the-world-weichai-releases-the-worlds-first-commercialized-high-power-metal-supported-sofc-product-301762592.html" TargetMode="External"/><Relationship Id="rId193" Type="http://schemas.openxmlformats.org/officeDocument/2006/relationships/hyperlink" Target="https://www.hydrogen.energy.gov/docs/hydrogenprogramlibraries/pdfs/review15/fc097_contini_2015_o.pdf?Status=Master" TargetMode="External"/><Relationship Id="rId13" Type="http://schemas.openxmlformats.org/officeDocument/2006/relationships/hyperlink" Target="https://atb.nrel.gov/electricity/2024/utility-scale_battery_storage" TargetMode="External"/><Relationship Id="rId109" Type="http://schemas.openxmlformats.org/officeDocument/2006/relationships/hyperlink" Target="https://www.iea-shc.org/data/sites/1/publications/Solar-Heat-Worldwide-2024.pdf" TargetMode="External"/><Relationship Id="rId34" Type="http://schemas.openxmlformats.org/officeDocument/2006/relationships/hyperlink" Target="https://www.sciencedirect.com/science/article/pii/S1364032123002642" TargetMode="External"/><Relationship Id="rId55" Type="http://schemas.openxmlformats.org/officeDocument/2006/relationships/hyperlink" Target="https://view.argusmedia.com/rs/584-BUW-606/images/BIO-Sample-Report-Argus%20Biomass%20Markets%20%282025-01-15%29.pdf?version=0" TargetMode="External"/><Relationship Id="rId76" Type="http://schemas.openxmlformats.org/officeDocument/2006/relationships/hyperlink" Target="https://backend.daikincomfort.com/docs/default-source/product-documents/residential/manuals/servicemanual/service-manual_17series.pdf?sfvrsn=48422a26_10&amp;" TargetMode="External"/><Relationship Id="rId97" Type="http://schemas.openxmlformats.org/officeDocument/2006/relationships/hyperlink" Target="https://hydrogeneurope.eu/wp-content/uploads/2021/11/20201027-SRIA-CHE-final-draft.pdf" TargetMode="External"/><Relationship Id="rId120" Type="http://schemas.openxmlformats.org/officeDocument/2006/relationships/hyperlink" Target="https://docs.nrel.gov/docs/fy24osti/86946.pdf" TargetMode="External"/><Relationship Id="rId141" Type="http://schemas.openxmlformats.org/officeDocument/2006/relationships/hyperlink" Target="https://www.totem.energy/totem_gamma/" TargetMode="External"/><Relationship Id="rId7" Type="http://schemas.openxmlformats.org/officeDocument/2006/relationships/hyperlink" Target="https://theicct.org/wp-content/uploads/2021/06/final_icct2020_assessment_of-_hydrogen_production_costs-v2.pdf" TargetMode="External"/><Relationship Id="rId162" Type="http://schemas.openxmlformats.org/officeDocument/2006/relationships/hyperlink" Target="https://www.accelerazero.com/sites/default/files/2023-03/Electrolyzer%20Technologies%20-%20Brochure%20-%20Accelera%20by%20Cummins%20-%2003%2003%202023_0.pdf?utm_campaign=newpower-accelera-tradeshows&amp;utm_content=&amp;utm_medium=qr-code" TargetMode="External"/><Relationship Id="rId183" Type="http://schemas.openxmlformats.org/officeDocument/2006/relationships/hyperlink" Target="https://www.dhsspares.co.uk/userfiles/boiler_manuals/WOR780.pdf?srsltid=AfmBOophaBaMMPIW-k9-aMHzsypAFpnirQNK1JR0nYU0XWZwHyzl_Mek&amp;" TargetMode="External"/><Relationship Id="rId2" Type="http://schemas.openxmlformats.org/officeDocument/2006/relationships/hyperlink" Target="https://www.hargassner.com/ca-en/boilers/wood-chip-boiler/eco-hk-50-60-kw/" TargetMode="External"/><Relationship Id="rId29" Type="http://schemas.openxmlformats.org/officeDocument/2006/relationships/hyperlink" Target="https://atb.nrel.gov/electricity/2023/concentrating_solar_power" TargetMode="External"/><Relationship Id="rId24" Type="http://schemas.openxmlformats.org/officeDocument/2006/relationships/hyperlink" Target="https://www.energy-proceedings.org/wp-content/uploads/2022/08/MITAB_2022_paper_4117.pdf" TargetMode="External"/><Relationship Id="rId40" Type="http://schemas.openxmlformats.org/officeDocument/2006/relationships/hyperlink" Target="https://www.cdmsmith.com/-/media/White-Papers/Melanie-Schmeida-Mid-Sized-New-Generation-White-Paper.pdf" TargetMode="External"/><Relationship Id="rId45" Type="http://schemas.openxmlformats.org/officeDocument/2006/relationships/hyperlink" Target="https://www.mdpi.com/2227-9717/9/7/1113" TargetMode="External"/><Relationship Id="rId66" Type="http://schemas.openxmlformats.org/officeDocument/2006/relationships/hyperlink" Target="https://www.nature.com/articles/s41598-025-06351-9" TargetMode="External"/><Relationship Id="rId87" Type="http://schemas.openxmlformats.org/officeDocument/2006/relationships/hyperlink" Target="https://www.ieabioenergy.com/wp-content/uploads/2017/02/IEA-Bioenergy-bio-in-balancing-grid_master-FINAL.pdf" TargetMode="External"/><Relationship Id="rId110" Type="http://schemas.openxmlformats.org/officeDocument/2006/relationships/hyperlink" Target="https://restservice.epri.com/publicdownload/000000003002025148/0/Product" TargetMode="External"/><Relationship Id="rId115" Type="http://schemas.openxmlformats.org/officeDocument/2006/relationships/hyperlink" Target="https://www.osti.gov/servlets/purl/1923360" TargetMode="External"/><Relationship Id="rId131" Type="http://schemas.openxmlformats.org/officeDocument/2006/relationships/hyperlink" Target="https://docs.nrel.gov/docs/fy25osti/91775.pdf" TargetMode="External"/><Relationship Id="rId136" Type="http://schemas.openxmlformats.org/officeDocument/2006/relationships/hyperlink" Target="https://edergen.be/uploads/downloads/Hoval-UltraGas-15-100-EN.pdf" TargetMode="External"/><Relationship Id="rId157" Type="http://schemas.openxmlformats.org/officeDocument/2006/relationships/hyperlink" Target="https://www.mechanicalresource.com/hubfs/Resource%20Center%20Files/White%20Papers/Riello/RTC%203000-4000-5000-6000%20RTC%208000-10000%20RTC%20USA%20INSTALLATION%2C%20OPERATION%20AND%20SERVICE%20MANUAL.pdf?hsLang=en" TargetMode="External"/><Relationship Id="rId178" Type="http://schemas.openxmlformats.org/officeDocument/2006/relationships/hyperlink" Target="https://www.sciencedirect.com/science/article/abs/pii/S0306261924011176" TargetMode="External"/><Relationship Id="rId61" Type="http://schemas.openxmlformats.org/officeDocument/2006/relationships/hyperlink" Target="https://www.energy.gov/sites/default/files/2022-08/bto-schools-chiller-replacement-083022.pdf" TargetMode="External"/><Relationship Id="rId82" Type="http://schemas.openxmlformats.org/officeDocument/2006/relationships/hyperlink" Target="https://docs.nrel.gov/docs/fy12osti/54092.pdf" TargetMode="External"/><Relationship Id="rId152" Type="http://schemas.openxmlformats.org/officeDocument/2006/relationships/hyperlink" Target="https://unige.iris.cineca.it/bitstream/11567/932321/1/1-s2.0-S0360544218323028-main.pdf" TargetMode="External"/><Relationship Id="rId173" Type="http://schemas.openxmlformats.org/officeDocument/2006/relationships/hyperlink" Target="https://www.researchgate.net/publication/341720840_Efficiency_analysis_of_50_kWe_SOFC_systems_fueled_with_biogas_from_waste_water" TargetMode="External"/><Relationship Id="rId194" Type="http://schemas.openxmlformats.org/officeDocument/2006/relationships/hyperlink" Target="https://ieafuelcell.com/wp-content/uploads/2024/11/2021-stationary-application-performance.pdf" TargetMode="External"/><Relationship Id="rId199" Type="http://schemas.openxmlformats.org/officeDocument/2006/relationships/vmlDrawing" Target="../drawings/vmlDrawing4.vml"/><Relationship Id="rId19" Type="http://schemas.openxmlformats.org/officeDocument/2006/relationships/hyperlink" Target="https://www.procurementiq.com/market-intelligence/chillers" TargetMode="External"/><Relationship Id="rId14" Type="http://schemas.openxmlformats.org/officeDocument/2006/relationships/hyperlink" Target="https://atb.nrel.gov/electricity/2024/commercial_battery_storage" TargetMode="External"/><Relationship Id="rId30" Type="http://schemas.openxmlformats.org/officeDocument/2006/relationships/hyperlink" Target="https://atb.nrel.gov/electricity/2023/distributed_wind" TargetMode="External"/><Relationship Id="rId35" Type="http://schemas.openxmlformats.org/officeDocument/2006/relationships/hyperlink" Target="https://www.sciencedirect.com/science/article/pii/S030626191931654X" TargetMode="External"/><Relationship Id="rId56" Type="http://schemas.openxmlformats.org/officeDocument/2006/relationships/hyperlink" Target="https://pellets-wood.com/news-german-pellet-market-2025-price-trends-and-future-prospects-13.html" TargetMode="External"/><Relationship Id="rId77" Type="http://schemas.openxmlformats.org/officeDocument/2006/relationships/hyperlink" Target="https://docs.lib.purdue.edu/cgi/viewcontent.cgi?article=2007&amp;context=iracc&amp;httpsredir=1&amp;referer=&amp;" TargetMode="External"/><Relationship Id="rId100" Type="http://schemas.openxmlformats.org/officeDocument/2006/relationships/hyperlink" Target="https://www.hydrogen.energy.gov/docs/hydrogenprogramlibraries/pdfs/st001_ahluwalia_2020_o.pdf" TargetMode="External"/><Relationship Id="rId105" Type="http://schemas.openxmlformats.org/officeDocument/2006/relationships/hyperlink" Target="https://www.johnsoncontrols.com/campaigns/chiller-life-cycle" TargetMode="External"/><Relationship Id="rId126" Type="http://schemas.openxmlformats.org/officeDocument/2006/relationships/hyperlink" Target="https://www.kww-halle.de/praxis-kommunale-waermewende/bundesgesetz-zur-waermeplanung" TargetMode="External"/><Relationship Id="rId147" Type="http://schemas.openxmlformats.org/officeDocument/2006/relationships/hyperlink" Target="https://hmg-attachments.s3-eu-west-1.amazonaws.com/U91877_Datasheet.pdf?utm_source=chatgpt.com" TargetMode="External"/><Relationship Id="rId168" Type="http://schemas.openxmlformats.org/officeDocument/2006/relationships/hyperlink" Target="https://www.myriadproducts.co.uk/hubfs/Resource%20centre%20files/Biomass%20products%20-%20Datasheets/Datasheet%20BF%20500-1500kW%20P45S%20v1.0.pdf?hsLang=en" TargetMode="External"/><Relationship Id="rId8" Type="http://schemas.openxmlformats.org/officeDocument/2006/relationships/hyperlink" Target="https://www.pnnl.gov/sites/default/files/media/file/Hydrogen_Methodology.pdf" TargetMode="External"/><Relationship Id="rId51" Type="http://schemas.openxmlformats.org/officeDocument/2006/relationships/hyperlink" Target="https://atb.nrel.gov/electricity/2024/residential_pv" TargetMode="External"/><Relationship Id="rId72" Type="http://schemas.openxmlformats.org/officeDocument/2006/relationships/hyperlink" Target="https://www.northernheatpump.com/documents/NI701_R-AD-WE.pdf" TargetMode="External"/><Relationship Id="rId93" Type="http://schemas.openxmlformats.org/officeDocument/2006/relationships/hyperlink" Target="https://www.researchgate.net/publication/337767655_Heating_systems_through_the_lens_of_the_boiler_Detailed_case_studies_to_inform_current_and_future_heating_system_design" TargetMode="External"/><Relationship Id="rId98" Type="http://schemas.openxmlformats.org/officeDocument/2006/relationships/hyperlink" Target="https://www.clean-hydrogen.europa.eu/document/download/29a7bd1b-5c19-4202-8fd2-dbfad804c6bf_en?filename=MAWP%20final%20version_endorsed%20GB%2015062018%20%28ID%203712421%29.pdf" TargetMode="External"/><Relationship Id="rId121" Type="http://schemas.openxmlformats.org/officeDocument/2006/relationships/hyperlink" Target="https://www.kea-bw.de/waermewende/angebote/downloads" TargetMode="External"/><Relationship Id="rId142" Type="http://schemas.openxmlformats.org/officeDocument/2006/relationships/hyperlink" Target="https://iea.blob.core.windows.net/assets/imports/events/122/Alessandro_Foresti_2015_03_23_Kiev.pdf" TargetMode="External"/><Relationship Id="rId163" Type="http://schemas.openxmlformats.org/officeDocument/2006/relationships/hyperlink" Target="https://www.accelerazero.com/sites/default/files/2025-09/HyLYZER-500-spec-sheet-2025.pdf" TargetMode="External"/><Relationship Id="rId184" Type="http://schemas.openxmlformats.org/officeDocument/2006/relationships/hyperlink" Target="https://efiling.energy.ca.gov/GetDocument.aspx?tn=232866&amp;" TargetMode="External"/><Relationship Id="rId189" Type="http://schemas.openxmlformats.org/officeDocument/2006/relationships/hyperlink" Target="https://www.researchgate.net/publication/397912928_Coupled_Transient_Operation_and_Emission_Analysis_of_a_Natural_Gas-Fueled_SOFC-Battery_Hybrid_Demonstrator_for_Maritime_Application" TargetMode="External"/><Relationship Id="rId3" Type="http://schemas.openxmlformats.org/officeDocument/2006/relationships/hyperlink" Target="https://atb.nrel.gov/electricity/2024/data" TargetMode="External"/><Relationship Id="rId25" Type="http://schemas.openxmlformats.org/officeDocument/2006/relationships/hyperlink" Target="https://www.hargassner.com/ca-en/boilers/pellet-boiler/smart-pk-32/" TargetMode="External"/><Relationship Id="rId46" Type="http://schemas.openxmlformats.org/officeDocument/2006/relationships/hyperlink" Target="https://patents.google.com/patent/EP2109174A1/en" TargetMode="External"/><Relationship Id="rId67" Type="http://schemas.openxmlformats.org/officeDocument/2006/relationships/hyperlink" Target="https://www.sciencedirect.com/science/article/pii/S0360319923000459" TargetMode="External"/><Relationship Id="rId116" Type="http://schemas.openxmlformats.org/officeDocument/2006/relationships/hyperlink" Target="https://www.irena.org/Publications/2025/Jun/Renewable-Power-Generation-Costs-in-2024" TargetMode="External"/><Relationship Id="rId137" Type="http://schemas.openxmlformats.org/officeDocument/2006/relationships/hyperlink" Target="https://cdn.hoval.com/topgas-classic-100-120-exa-en-25-hybris-original.pdf" TargetMode="External"/><Relationship Id="rId158" Type="http://schemas.openxmlformats.org/officeDocument/2006/relationships/hyperlink" Target="https://www.shareddocs.com/hvac/docs/1001/Public/0E/16DNH-Product-data-PD5-20090423.pdf" TargetMode="External"/><Relationship Id="rId20" Type="http://schemas.openxmlformats.org/officeDocument/2006/relationships/hyperlink" Target="https://www.energy.ca.gov/sites/default/files/2021-06/CEC-500-2019-030.pdf" TargetMode="External"/><Relationship Id="rId41" Type="http://schemas.openxmlformats.org/officeDocument/2006/relationships/hyperlink" Target="https://www.wartsila.com/energy/learn-more/technology-comparison-engines-vs-aeros/six-elements-of-dispatching" TargetMode="External"/><Relationship Id="rId62" Type="http://schemas.openxmlformats.org/officeDocument/2006/relationships/hyperlink" Target="https://www.trane.com/content/dam/Trane/Commercial/global/products-systems/equipment/chillers/air-cooled/ascend/AC-SVX001E-EN_07092021.pdf" TargetMode="External"/><Relationship Id="rId83" Type="http://schemas.openxmlformats.org/officeDocument/2006/relationships/hyperlink" Target="https://svusrc.journals.ekb.eg/article_192929_8ebddd506e9030a340438b9c2bb29a08.pdf" TargetMode="External"/><Relationship Id="rId88" Type="http://schemas.openxmlformats.org/officeDocument/2006/relationships/hyperlink" Target="https://www.sciencedirect.com/science/article/pii/S277267112100022X" TargetMode="External"/><Relationship Id="rId111" Type="http://schemas.openxmlformats.org/officeDocument/2006/relationships/hyperlink" Target="https://www.hydrogen.energy.gov/docs/hydrogenprogramlibraries/pdfs/23002-hd-fuel-cell-system-cost-2022.pdf" TargetMode="External"/><Relationship Id="rId132" Type="http://schemas.openxmlformats.org/officeDocument/2006/relationships/hyperlink" Target="https://docs.nrel.gov/docs/fy24osti/91209.pdf" TargetMode="External"/><Relationship Id="rId153" Type="http://schemas.openxmlformats.org/officeDocument/2006/relationships/hyperlink" Target="https://www.researchgate.net/publication/341720840_Efficiency_analysis_of_50_kWe_SOFC_systems_fueled_with_biogas_from_waste_water" TargetMode="External"/><Relationship Id="rId174" Type="http://schemas.openxmlformats.org/officeDocument/2006/relationships/hyperlink" Target="https://documentos.mollier.pt/thermax/catalogue2024_tac_l1_eng.pdf" TargetMode="External"/><Relationship Id="rId179" Type="http://schemas.openxmlformats.org/officeDocument/2006/relationships/hyperlink" Target="https://www.sciencedirect.com/science/article/abs/pii/S0360544224037769" TargetMode="External"/><Relationship Id="rId195" Type="http://schemas.openxmlformats.org/officeDocument/2006/relationships/hyperlink" Target="https://heatpumpingtechnologies.org/content/uploads/sites/69/2024/03/task-4-reportfinal-2.pdf" TargetMode="External"/><Relationship Id="rId190" Type="http://schemas.openxmlformats.org/officeDocument/2006/relationships/hyperlink" Target="https://www.aemo.com.au/-/media/files/electricity/%E2%80%8Cnem/%E2%80%8Cplanning_and_%E2%80%8Cforecasting/%E2%80%8Cinputs-assumptions-methodologies/%E2%80%8C2021/Aurecon-Cost-and-Technical-Parameters-Review-2020.pdf" TargetMode="External"/><Relationship Id="rId15" Type="http://schemas.openxmlformats.org/officeDocument/2006/relationships/hyperlink" Target="https://atb.nrel.gov/electricity/2024/residential_battery_storage" TargetMode="External"/><Relationship Id="rId36" Type="http://schemas.openxmlformats.org/officeDocument/2006/relationships/hyperlink" Target="https://www.solarpaces.org/spains-concentrated-solar-thermal-power-performed/" TargetMode="External"/><Relationship Id="rId57" Type="http://schemas.openxmlformats.org/officeDocument/2006/relationships/hyperlink" Target="https://sutertechnologies.com/en/pellets/" TargetMode="External"/><Relationship Id="rId106" Type="http://schemas.openxmlformats.org/officeDocument/2006/relationships/hyperlink" Target="https://www.sciencedirect.com/science/article/pii/S037877882300645X" TargetMode="External"/><Relationship Id="rId127" Type="http://schemas.openxmlformats.org/officeDocument/2006/relationships/hyperlink" Target="https://www.ise.fraunhofer.de/en/research-projects/ship.html" TargetMode="External"/><Relationship Id="rId10" Type="http://schemas.openxmlformats.org/officeDocument/2006/relationships/hyperlink" Target="https://www.sciencedirect.com/science/article/abs/pii/S1364032121011540" TargetMode="External"/><Relationship Id="rId31" Type="http://schemas.openxmlformats.org/officeDocument/2006/relationships/hyperlink" Target="https://atb.nrel.gov/electricity/2023/land-based_wind" TargetMode="External"/><Relationship Id="rId52" Type="http://schemas.openxmlformats.org/officeDocument/2006/relationships/hyperlink" Target="https://ieafuelcell.com/output/technology-reports/high-temperature-fuel-cell-solid-oxide-fuel-cell-sofc/" TargetMode="External"/><Relationship Id="rId73" Type="http://schemas.openxmlformats.org/officeDocument/2006/relationships/hyperlink" Target="https://www.researchgate.net/publication/303775523_Partial_load_efficiency_degradation_of_a_water-to-water_heat_pump_under_fixed_set-point_control" TargetMode="External"/><Relationship Id="rId78" Type="http://schemas.openxmlformats.org/officeDocument/2006/relationships/hyperlink" Target="https://www.mdpi.com/1996-1073/16/17/6145" TargetMode="External"/><Relationship Id="rId94" Type="http://schemas.openxmlformats.org/officeDocument/2006/relationships/hyperlink" Target="https://assets.publishing.service.gov.uk/media/5d78ee5940f0b61cdf60ac5e/Full_technical_report.pdf" TargetMode="External"/><Relationship Id="rId99" Type="http://schemas.openxmlformats.org/officeDocument/2006/relationships/hyperlink" Target="https://www.sciencedirect.com/science/article/abs/pii/S0016236123022238" TargetMode="External"/><Relationship Id="rId101" Type="http://schemas.openxmlformats.org/officeDocument/2006/relationships/hyperlink" Target="https://unece.org/fileadmin/DAM/trans/main/wp29/wp29wgs/wp29gen/wp29registry/ECE-TRANS-180a13e.pdf" TargetMode="External"/><Relationship Id="rId122" Type="http://schemas.openxmlformats.org/officeDocument/2006/relationships/hyperlink" Target="https://docs.nrel.gov/docs/fy23osti/84409.pdf" TargetMode="External"/><Relationship Id="rId143" Type="http://schemas.openxmlformats.org/officeDocument/2006/relationships/hyperlink" Target="https://ee-ip.org/fileadmin/user_upload/DOCUMENTS/Content/15-COM.P-7-rev.7.pdf" TargetMode="External"/><Relationship Id="rId148" Type="http://schemas.openxmlformats.org/officeDocument/2006/relationships/hyperlink" Target="https://www.viessmann-us.com/content/dam/public-brands/ca/pdfs/gas-fired/vitocrossal_200-cm2_lg_gw6b_tdm.pdf/_jcr_content/renditions/original./vitocrossal_200-cm2_lg_gw6b_tdm.pdf" TargetMode="External"/><Relationship Id="rId164" Type="http://schemas.openxmlformats.org/officeDocument/2006/relationships/hyperlink" Target="https://ecodesign.tranetechnologies.com/ords/r/stsbx/ecodesigndatasheetmgmt/home" TargetMode="External"/><Relationship Id="rId169" Type="http://schemas.openxmlformats.org/officeDocument/2006/relationships/hyperlink" Target="https://trane.eu/uk/equipment/product-details.html?prodId=2110" TargetMode="External"/><Relationship Id="rId185" Type="http://schemas.openxmlformats.org/officeDocument/2006/relationships/hyperlink" Target="https://portal.ct.gov/-/media/deep/air/permits/titlev/wallingford_energy_llc/p1890197pdf.pdf" TargetMode="External"/><Relationship Id="rId4" Type="http://schemas.openxmlformats.org/officeDocument/2006/relationships/hyperlink" Target="https://www.greenmatch.co.uk/heat-pumps/cost" TargetMode="External"/><Relationship Id="rId9" Type="http://schemas.openxmlformats.org/officeDocument/2006/relationships/hyperlink" Target="https://docs.nrel.gov/docs/fy24osti/89239.pdf" TargetMode="External"/><Relationship Id="rId180" Type="http://schemas.openxmlformats.org/officeDocument/2006/relationships/hyperlink" Target="https://www.plumbnation.co.uk/documents/worcester-bosch-greenstar-2000-combi-gas-boiler-user-guide.pdf?srsltid=AfmBOoqX4-KTf1n5NRPQDU5ykd4A881XbIZaBoRSJ6WMMfuQZI6YflI-&amp;" TargetMode="External"/><Relationship Id="rId26" Type="http://schemas.openxmlformats.org/officeDocument/2006/relationships/hyperlink" Target="https://www.hargassner.com/ca-en/boilers/pellet-boiler/eco-pk-70-120-kw/" TargetMode="External"/><Relationship Id="rId47" Type="http://schemas.openxmlformats.org/officeDocument/2006/relationships/hyperlink" Target="https://pure.tudelft.nl/ws/portalfiles/portal/237357894/2025-01-25_Dissertation_V12_print_revised.pdf" TargetMode="External"/><Relationship Id="rId68" Type="http://schemas.openxmlformats.org/officeDocument/2006/relationships/hyperlink" Target="https://www.h2b2.es/el400n/" TargetMode="External"/><Relationship Id="rId89" Type="http://schemas.openxmlformats.org/officeDocument/2006/relationships/hyperlink" Target="https://www.researchgate.net/publication/389008280_Solid_Oxide_Fuel_Cell_SOFC_Module_Pricing" TargetMode="External"/><Relationship Id="rId112" Type="http://schemas.openxmlformats.org/officeDocument/2006/relationships/hyperlink" Target="https://www.sciencedirect.com/science/article/pii/S030626192301228X" TargetMode="External"/><Relationship Id="rId133" Type="http://schemas.openxmlformats.org/officeDocument/2006/relationships/hyperlink" Target="https://www.energy.gov/eere/fuelcells/hydrogen-and-fuel-cell-technologies-office-multi-year-program-plan" TargetMode="External"/><Relationship Id="rId154" Type="http://schemas.openxmlformats.org/officeDocument/2006/relationships/hyperlink" Target="https://powercellgroup.com/segments/power-generation/" TargetMode="External"/><Relationship Id="rId175" Type="http://schemas.openxmlformats.org/officeDocument/2006/relationships/hyperlink" Target="https://docs.nrel.gov/docs/fy21osti/71156.pdf" TargetMode="External"/><Relationship Id="rId196" Type="http://schemas.openxmlformats.org/officeDocument/2006/relationships/hyperlink" Target="https://docs.lib.purdue.edu/cgi/viewcontent.cgi?article=2007&amp;context=iracc&amp;httpsredir=1&amp;referer" TargetMode="External"/><Relationship Id="rId200" Type="http://schemas.openxmlformats.org/officeDocument/2006/relationships/comments" Target="../comments4.xml"/><Relationship Id="rId16" Type="http://schemas.openxmlformats.org/officeDocument/2006/relationships/hyperlink" Target="https://co.mitsubishielectric.com/es/products-solutions/air-conditioning/pdf/catalogo_e-chiller.pdf" TargetMode="External"/><Relationship Id="rId37" Type="http://schemas.openxmlformats.org/officeDocument/2006/relationships/hyperlink" Target="https://info.fluenceenergy.com/hubfs/Collateral/Everoze%20-%20Batteries%20Beyond%20the%20Spin.pdf" TargetMode="External"/><Relationship Id="rId58" Type="http://schemas.openxmlformats.org/officeDocument/2006/relationships/hyperlink" Target="https://observatory.clean-hydrogen.europa.eu/hydrogen-landscape/production-trade-and-cost/cost-hydrogen-production" TargetMode="External"/><Relationship Id="rId79" Type="http://schemas.openxmlformats.org/officeDocument/2006/relationships/hyperlink" Target="https://www.osti.gov/servlets/purl/1602252" TargetMode="External"/><Relationship Id="rId102" Type="http://schemas.openxmlformats.org/officeDocument/2006/relationships/hyperlink" Target="https://wes.copernicus.org/articles/8/1727/2023/wes-8-1727-2023.pdf" TargetMode="External"/><Relationship Id="rId123" Type="http://schemas.openxmlformats.org/officeDocument/2006/relationships/hyperlink" Target="https://publications.anl.gov/anlpubs/2021/04/167188.pdf" TargetMode="External"/><Relationship Id="rId144" Type="http://schemas.openxmlformats.org/officeDocument/2006/relationships/hyperlink" Target="https://www.turboden.com/references" TargetMode="External"/><Relationship Id="rId90" Type="http://schemas.openxmlformats.org/officeDocument/2006/relationships/hyperlink" Target="https://www.ballard.com/wp-content/uploads/2024/11/Ballard-Stationary-Market-Product-Brochure-december-2024.pdf" TargetMode="External"/><Relationship Id="rId165" Type="http://schemas.openxmlformats.org/officeDocument/2006/relationships/hyperlink" Target="https://trane.eu/uk/equipment/product-details.html?prodId=224" TargetMode="External"/><Relationship Id="rId186" Type="http://schemas.openxmlformats.org/officeDocument/2006/relationships/hyperlink" Target="https://surplusgroup.com/wp-content/themes/SurplusGroup/media/35427/abs-m-10a_04012001.pdf" TargetMode="External"/><Relationship Id="rId27" Type="http://schemas.openxmlformats.org/officeDocument/2006/relationships/hyperlink" Target="https://www.energy.gov/femp/purchasing-energy-efficient-residential-gas-boilers" TargetMode="External"/><Relationship Id="rId48" Type="http://schemas.openxmlformats.org/officeDocument/2006/relationships/hyperlink" Target="https://atb.nrel.gov/electricity/2024/utility-scale_pv-plus-battery" TargetMode="External"/><Relationship Id="rId69" Type="http://schemas.openxmlformats.org/officeDocument/2006/relationships/hyperlink" Target="https://www.plugpower.com/wp-content/uploads/2021/10/EX-4250D_F041122.pdf" TargetMode="External"/><Relationship Id="rId113" Type="http://schemas.openxmlformats.org/officeDocument/2006/relationships/hyperlink" Target="https://www.mdpi.com/2227-9717/12/11/2376" TargetMode="External"/><Relationship Id="rId134" Type="http://schemas.openxmlformats.org/officeDocument/2006/relationships/hyperlink" Target="https://www.energy.gov/sites/default/files/2024-09/hfto-mypp-hydrogen-infrastructure.pdf" TargetMode="External"/><Relationship Id="rId80" Type="http://schemas.openxmlformats.org/officeDocument/2006/relationships/hyperlink" Target="https://publications.tno.nl/publication/34637698/2VA30k/TNO-2020-R12004.pdf" TargetMode="External"/><Relationship Id="rId155" Type="http://schemas.openxmlformats.org/officeDocument/2006/relationships/hyperlink" Target="https://ecp.ep.liu.se/index.php/sims/article/download/515/475/437" TargetMode="External"/><Relationship Id="rId176" Type="http://schemas.openxmlformats.org/officeDocument/2006/relationships/hyperlink" Target="https://www.mhi.com/technology/review/sites/g/files/jwhtju2326/files/media/pdf/e571040.pdf" TargetMode="External"/><Relationship Id="rId197" Type="http://schemas.openxmlformats.org/officeDocument/2006/relationships/hyperlink" Target="https://it.scribd.com/document/656420006/ORC-TURBOGENERATOR-TYPE-CHP-Organic-Rankine-Cycle-Turbogenerator-Fed-by-Thermal-Oil-For-the-Combined-Production-of-Electric-Energy-and-Heat" TargetMode="External"/><Relationship Id="rId201" Type="http://schemas.microsoft.com/office/2017/10/relationships/threadedComment" Target="../threadedComments/threadedComment4.xml"/><Relationship Id="rId17" Type="http://schemas.openxmlformats.org/officeDocument/2006/relationships/hyperlink" Target="https://www.carrier.com/commercial/en/us/products/chillers-components/water-cooled-chillers/19mv/" TargetMode="External"/><Relationship Id="rId38" Type="http://schemas.openxmlformats.org/officeDocument/2006/relationships/hyperlink" Target="https://www.hydroera.com.my/cms/images/files/2020/02/REW-RGWA.pdf" TargetMode="External"/><Relationship Id="rId59" Type="http://schemas.openxmlformats.org/officeDocument/2006/relationships/hyperlink" Target="https://it.scribd.com/document/649883360/508986-REP-ElectraNet-Generator-Technical-And-Cost-Parameters-23July2020" TargetMode="External"/><Relationship Id="rId103" Type="http://schemas.openxmlformats.org/officeDocument/2006/relationships/hyperlink" Target="https://onlinelibrary.wiley.com/doi/full/10.1155/2023/1100725" TargetMode="External"/><Relationship Id="rId124" Type="http://schemas.openxmlformats.org/officeDocument/2006/relationships/hyperlink" Target="https://www.pnnl.gov/sites/default/files/media/file/Final%20-%20ESGC%20Cost%20Performance%20Report%2012-11-2020.pdf" TargetMode="External"/><Relationship Id="rId70" Type="http://schemas.openxmlformats.org/officeDocument/2006/relationships/hyperlink" Target="https://press.siemens.com/global/en/pressrelease/siemens-energy-launches-its-first-megawatt-green-hydrogen-production-project-china" TargetMode="External"/><Relationship Id="rId91" Type="http://schemas.openxmlformats.org/officeDocument/2006/relationships/hyperlink" Target="https://investor.fce.com/press-releases/press-release-details/2022/FuelCell-Energy-Announces-Solid-Oxide-Electrolysis-and-Fuel-Cell-Platform-to-Improve-Control-and-Flexibility-of-Energy-Investments/default.aspx" TargetMode="External"/><Relationship Id="rId145" Type="http://schemas.openxmlformats.org/officeDocument/2006/relationships/hyperlink" Target="https://it.scribd.com/document/80458550/CB-7768-Gen-boiler-Efficiency-Tables" TargetMode="External"/><Relationship Id="rId166" Type="http://schemas.openxmlformats.org/officeDocument/2006/relationships/hyperlink" Target="https://trane.eu/uk/equipment/product-details.html?prodId=221" TargetMode="External"/><Relationship Id="rId187" Type="http://schemas.openxmlformats.org/officeDocument/2006/relationships/hyperlink" Target="https://daikinapplied.co.id/wp-content/uploads/2024/07/EWAD-TZ-B-EWAH-TZ-B-brochure.pdf" TargetMode="External"/><Relationship Id="rId1" Type="http://schemas.openxmlformats.org/officeDocument/2006/relationships/hyperlink" Target="https://www.energy.gov/sites/default/files/2024-05/hfto-mypp-hydrogen-production.pdf" TargetMode="External"/><Relationship Id="rId28" Type="http://schemas.openxmlformats.org/officeDocument/2006/relationships/hyperlink" Target="https://docs.nrel.gov/docs/fy11osti/48595.pdf" TargetMode="External"/><Relationship Id="rId49" Type="http://schemas.openxmlformats.org/officeDocument/2006/relationships/hyperlink" Target="https://atb.nrel.gov/electricity/2024/utility-scale_pv" TargetMode="External"/><Relationship Id="rId114" Type="http://schemas.openxmlformats.org/officeDocument/2006/relationships/hyperlink" Target="https://atb.nrel.gov/electricity/2024/concentrating_solar_power" TargetMode="External"/><Relationship Id="rId60" Type="http://schemas.openxmlformats.org/officeDocument/2006/relationships/hyperlink" Target="https://www.energy.gov/sites/prod/files/2017/06/f35/CHP-Absorption%20Chiller-compliant.pdf" TargetMode="External"/><Relationship Id="rId81" Type="http://schemas.openxmlformats.org/officeDocument/2006/relationships/hyperlink" Target="https://www.sciencedirect.com/science/article/pii/S0360319924011273" TargetMode="External"/><Relationship Id="rId135" Type="http://schemas.openxmlformats.org/officeDocument/2006/relationships/hyperlink" Target="https://escholarship.org/content/qt83p5k54m/qt83p5k54m_noSplash_8bb1326c13cfb9aa3d0d376ec26d3e06.pdf" TargetMode="External"/><Relationship Id="rId156" Type="http://schemas.openxmlformats.org/officeDocument/2006/relationships/hyperlink" Target="https://www.thermaxglobal.com/wp-content/uploads/2024/09/Direct-Fired-Absorption-Chiller-XP-Brochure.pdf" TargetMode="External"/><Relationship Id="rId177" Type="http://schemas.openxmlformats.org/officeDocument/2006/relationships/hyperlink" Target="https://www.energy.gov/eere/vehicles/articles/us-drive-hydrogen-storage-technical-team-roadmap" TargetMode="External"/><Relationship Id="rId198" Type="http://schemas.openxmlformats.org/officeDocument/2006/relationships/hyperlink" Target="https://ec.europa.eu/research/participants/documents/downloadPublic?appId=PPGMS&amp;documentIds=080166e5c7d588f4" TargetMode="External"/><Relationship Id="rId18" Type="http://schemas.openxmlformats.org/officeDocument/2006/relationships/hyperlink" Target="https://ec.europa.eu/eurostat/statistics-explained/index.php?title=Electricity_price_statistics&amp;utm_source=chatgpt.com" TargetMode="External"/><Relationship Id="rId39" Type="http://schemas.openxmlformats.org/officeDocument/2006/relationships/hyperlink" Target="https://www.turbomachinerymag.com/view/boiler-best-practices-boiler-upgrades-and-hrsg-installations-require-care" TargetMode="External"/><Relationship Id="rId50" Type="http://schemas.openxmlformats.org/officeDocument/2006/relationships/hyperlink" Target="https://atb.nrel.gov/electricity/2024/commercial_pv" TargetMode="External"/><Relationship Id="rId104" Type="http://schemas.openxmlformats.org/officeDocument/2006/relationships/hyperlink" Target="https://www.sciencedirect.com/science/article/pii/S0038092X23007697" TargetMode="External"/><Relationship Id="rId125" Type="http://schemas.openxmlformats.org/officeDocument/2006/relationships/hyperlink" Target="https://www.pnnl.gov/sites/default/files/media/file/ESGC%20Cost%20Performance%20Report%202022%20PNNL-33283.pdf" TargetMode="External"/><Relationship Id="rId146" Type="http://schemas.openxmlformats.org/officeDocument/2006/relationships/hyperlink" Target="https://cleaverbrooks.com/Catalog/boilers/firetube/cble" TargetMode="External"/><Relationship Id="rId167" Type="http://schemas.openxmlformats.org/officeDocument/2006/relationships/hyperlink" Target="https://trane.eu/uk/equipment/product-details.html?prodId=215" TargetMode="External"/><Relationship Id="rId188" Type="http://schemas.openxmlformats.org/officeDocument/2006/relationships/hyperlink" Target="https://iea-etsap.org/projects/ETechsDS-Data_Normalisation-P1.pdf" TargetMode="External"/><Relationship Id="rId71" Type="http://schemas.openxmlformats.org/officeDocument/2006/relationships/hyperlink" Target="https://ris.utwente.nl/ws/files/249961465/1_s2.0_S036031992034725X_main.pdf" TargetMode="External"/><Relationship Id="rId92" Type="http://schemas.openxmlformats.org/officeDocument/2006/relationships/hyperlink" Target="https://ietresearch.onlinelibrary.wiley.com/doi/10.1049/iet-esi.2019.0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98"/>
  <sheetViews>
    <sheetView topLeftCell="H1" zoomScale="85" zoomScaleNormal="85" workbookViewId="0">
      <selection activeCell="Q42" sqref="Q42"/>
    </sheetView>
  </sheetViews>
  <sheetFormatPr defaultRowHeight="14.4" x14ac:dyDescent="0.3"/>
  <cols>
    <col min="2" max="2" width="45.5546875" customWidth="1"/>
    <col min="3" max="3" width="24.88671875" customWidth="1"/>
    <col min="4" max="4" width="35.33203125" customWidth="1"/>
    <col min="5" max="5" width="22.44140625" customWidth="1"/>
    <col min="6" max="8" width="23.33203125" customWidth="1"/>
    <col min="9" max="9" width="20.44140625" customWidth="1"/>
    <col min="10" max="10" width="26.109375" customWidth="1"/>
    <col min="11" max="11" width="22.44140625" customWidth="1"/>
    <col min="12" max="12" width="21.6640625" customWidth="1"/>
    <col min="13" max="13" width="20.88671875" customWidth="1"/>
    <col min="14" max="14" width="17.77734375" customWidth="1"/>
    <col min="15" max="15" width="33.21875" customWidth="1"/>
    <col min="16" max="16" width="44.44140625" customWidth="1"/>
    <col min="17" max="17" width="49.6640625" customWidth="1"/>
    <col min="18" max="18" width="21" customWidth="1"/>
    <col min="19" max="19" width="13.5546875" customWidth="1"/>
    <col min="20" max="20" width="22.77734375" customWidth="1"/>
    <col min="21" max="21" width="17.77734375" customWidth="1"/>
    <col min="22" max="22" width="28.5546875" customWidth="1"/>
    <col min="23" max="23" width="51.109375" customWidth="1"/>
    <col min="24" max="24" width="54.33203125" customWidth="1"/>
    <col min="25" max="25" width="42.88671875" customWidth="1"/>
    <col min="26" max="26" width="30.88671875" customWidth="1"/>
    <col min="27" max="27" width="52.5546875" customWidth="1"/>
    <col min="28" max="28" width="39" customWidth="1"/>
    <col min="29" max="29" width="43.21875" customWidth="1"/>
    <col min="30" max="30" width="20.88671875" customWidth="1"/>
    <col min="31" max="31" width="13.77734375" customWidth="1"/>
    <col min="32" max="32" width="16.88671875" customWidth="1"/>
  </cols>
  <sheetData>
    <row r="1" spans="2:32" x14ac:dyDescent="0.3">
      <c r="B1" s="158" t="s">
        <v>439</v>
      </c>
      <c r="D1" s="18" t="s">
        <v>37</v>
      </c>
      <c r="Q1" s="18" t="s">
        <v>37</v>
      </c>
      <c r="Z1" s="275" t="s">
        <v>37</v>
      </c>
      <c r="AA1" s="275"/>
      <c r="AB1" s="275"/>
      <c r="AC1" s="275"/>
      <c r="AD1" s="275"/>
    </row>
    <row r="2" spans="2:32" x14ac:dyDescent="0.3">
      <c r="B2" s="1" t="s">
        <v>0</v>
      </c>
      <c r="C2" s="17" t="s">
        <v>1</v>
      </c>
      <c r="D2" s="20" t="s">
        <v>118</v>
      </c>
      <c r="E2" s="17" t="s">
        <v>41</v>
      </c>
      <c r="F2" s="17" t="s">
        <v>2</v>
      </c>
      <c r="G2" s="17" t="s">
        <v>996</v>
      </c>
      <c r="H2" s="17" t="s">
        <v>997</v>
      </c>
      <c r="I2" s="17" t="s">
        <v>3</v>
      </c>
      <c r="J2" s="17" t="s">
        <v>4</v>
      </c>
      <c r="K2" s="17" t="s">
        <v>5</v>
      </c>
      <c r="L2" s="17" t="s">
        <v>6</v>
      </c>
      <c r="M2" s="17" t="s">
        <v>7</v>
      </c>
      <c r="N2" s="17" t="s">
        <v>8</v>
      </c>
      <c r="O2" s="17" t="s">
        <v>9</v>
      </c>
      <c r="P2" s="17" t="s">
        <v>10</v>
      </c>
      <c r="Q2" s="20" t="s">
        <v>108</v>
      </c>
      <c r="R2" s="17" t="s">
        <v>11</v>
      </c>
      <c r="S2" s="17" t="s">
        <v>12</v>
      </c>
      <c r="T2" s="17" t="s">
        <v>13</v>
      </c>
      <c r="U2" s="17" t="s">
        <v>14</v>
      </c>
      <c r="V2" s="17" t="s">
        <v>110</v>
      </c>
      <c r="W2" s="17" t="s">
        <v>109</v>
      </c>
      <c r="X2" s="17" t="s">
        <v>115</v>
      </c>
      <c r="Y2" s="17" t="s">
        <v>15</v>
      </c>
      <c r="Z2" s="20" t="s">
        <v>114</v>
      </c>
      <c r="AA2" s="20" t="s">
        <v>113</v>
      </c>
      <c r="AB2" s="20" t="s">
        <v>112</v>
      </c>
      <c r="AC2" s="20" t="s">
        <v>117</v>
      </c>
      <c r="AD2" s="17" t="s">
        <v>16</v>
      </c>
      <c r="AE2" s="17" t="s">
        <v>17</v>
      </c>
      <c r="AF2" s="17" t="s">
        <v>33</v>
      </c>
    </row>
    <row r="3" spans="2:32" ht="86.4" customHeight="1" x14ac:dyDescent="0.3">
      <c r="B3" s="16" t="s">
        <v>31</v>
      </c>
      <c r="C3" t="s">
        <v>32</v>
      </c>
      <c r="D3" s="19" t="s">
        <v>39</v>
      </c>
      <c r="E3" s="5" t="s">
        <v>18</v>
      </c>
      <c r="F3" s="5" t="s">
        <v>19</v>
      </c>
      <c r="G3" s="5" t="s">
        <v>1539</v>
      </c>
      <c r="H3" s="5" t="s">
        <v>1540</v>
      </c>
      <c r="I3" s="9" t="s">
        <v>20</v>
      </c>
      <c r="J3" s="4" t="s">
        <v>1898</v>
      </c>
      <c r="K3" s="4" t="s">
        <v>1898</v>
      </c>
      <c r="L3" t="s">
        <v>21</v>
      </c>
      <c r="M3" s="5" t="s">
        <v>22</v>
      </c>
      <c r="N3" s="5" t="s">
        <v>23</v>
      </c>
      <c r="O3" t="s">
        <v>24</v>
      </c>
      <c r="P3" s="19" t="s">
        <v>53</v>
      </c>
      <c r="Q3" s="19" t="s">
        <v>1875</v>
      </c>
      <c r="R3" s="5" t="s">
        <v>103</v>
      </c>
      <c r="S3" s="10" t="s">
        <v>26</v>
      </c>
      <c r="T3">
        <v>15</v>
      </c>
      <c r="U3" t="s">
        <v>25</v>
      </c>
      <c r="V3" s="26">
        <f>0.0674/AE3</f>
        <v>0.22466666666666668</v>
      </c>
      <c r="W3" s="27" t="s">
        <v>124</v>
      </c>
      <c r="X3" s="25" t="s">
        <v>104</v>
      </c>
      <c r="Y3" s="28" t="s">
        <v>1899</v>
      </c>
      <c r="Z3" s="6">
        <f>V3*AE3</f>
        <v>6.7400000000000002E-2</v>
      </c>
      <c r="AA3" s="27" t="s">
        <v>116</v>
      </c>
      <c r="AB3" s="25" t="s">
        <v>105</v>
      </c>
      <c r="AC3" s="28" t="s">
        <v>1906</v>
      </c>
      <c r="AD3" s="5" t="s">
        <v>183</v>
      </c>
      <c r="AE3" s="14">
        <v>0.3</v>
      </c>
      <c r="AF3" s="15" t="s">
        <v>34</v>
      </c>
    </row>
    <row r="4" spans="2:32" ht="86.4" customHeight="1" x14ac:dyDescent="0.3">
      <c r="B4" s="16" t="s">
        <v>31</v>
      </c>
      <c r="C4" s="3" t="s">
        <v>35</v>
      </c>
      <c r="D4" s="19" t="s">
        <v>38</v>
      </c>
      <c r="E4" s="5" t="s">
        <v>27</v>
      </c>
      <c r="F4" s="5" t="s">
        <v>28</v>
      </c>
      <c r="G4" s="5" t="s">
        <v>1541</v>
      </c>
      <c r="H4" s="5" t="s">
        <v>1542</v>
      </c>
      <c r="I4" s="9" t="s">
        <v>20</v>
      </c>
      <c r="J4" s="4" t="s">
        <v>1898</v>
      </c>
      <c r="K4" s="4" t="s">
        <v>1898</v>
      </c>
      <c r="L4" t="s">
        <v>21</v>
      </c>
      <c r="M4" s="5" t="s">
        <v>22</v>
      </c>
      <c r="N4" s="5" t="s">
        <v>23</v>
      </c>
      <c r="O4" t="s">
        <v>24</v>
      </c>
      <c r="P4" s="19" t="s">
        <v>53</v>
      </c>
      <c r="Q4" s="19" t="s">
        <v>1876</v>
      </c>
      <c r="R4" s="5" t="s">
        <v>103</v>
      </c>
      <c r="S4" s="10" t="s">
        <v>26</v>
      </c>
      <c r="T4">
        <v>15</v>
      </c>
      <c r="U4" t="s">
        <v>25</v>
      </c>
      <c r="V4" s="26">
        <f t="shared" ref="V4:V5" si="0">0.0674/AE4</f>
        <v>0.19257142857142859</v>
      </c>
      <c r="W4" s="27" t="s">
        <v>125</v>
      </c>
      <c r="X4" s="25" t="s">
        <v>111</v>
      </c>
      <c r="Y4" s="28" t="s">
        <v>1900</v>
      </c>
      <c r="Z4" s="6">
        <f>V4*AE4</f>
        <v>6.7400000000000002E-2</v>
      </c>
      <c r="AA4" s="27" t="s">
        <v>116</v>
      </c>
      <c r="AB4" s="25" t="s">
        <v>106</v>
      </c>
      <c r="AC4" s="28" t="s">
        <v>1906</v>
      </c>
      <c r="AD4" s="5" t="s">
        <v>183</v>
      </c>
      <c r="AE4" s="14">
        <v>0.35</v>
      </c>
      <c r="AF4" s="15" t="s">
        <v>34</v>
      </c>
    </row>
    <row r="5" spans="2:32" ht="86.4" customHeight="1" x14ac:dyDescent="0.3">
      <c r="B5" s="29" t="s">
        <v>31</v>
      </c>
      <c r="C5" s="30" t="s">
        <v>36</v>
      </c>
      <c r="D5" s="31" t="s">
        <v>40</v>
      </c>
      <c r="E5" s="32" t="s">
        <v>29</v>
      </c>
      <c r="F5" s="32" t="s">
        <v>30</v>
      </c>
      <c r="G5" s="32" t="s">
        <v>1543</v>
      </c>
      <c r="H5" s="32" t="s">
        <v>1544</v>
      </c>
      <c r="I5" s="45" t="s">
        <v>20</v>
      </c>
      <c r="J5" s="34" t="s">
        <v>1898</v>
      </c>
      <c r="K5" s="34" t="s">
        <v>1898</v>
      </c>
      <c r="L5" s="35" t="s">
        <v>21</v>
      </c>
      <c r="M5" s="32" t="s">
        <v>22</v>
      </c>
      <c r="N5" s="32" t="s">
        <v>23</v>
      </c>
      <c r="O5" s="35" t="s">
        <v>24</v>
      </c>
      <c r="P5" s="31" t="s">
        <v>1874</v>
      </c>
      <c r="Q5" s="31" t="s">
        <v>1877</v>
      </c>
      <c r="R5" s="32" t="s">
        <v>103</v>
      </c>
      <c r="S5" s="36" t="s">
        <v>26</v>
      </c>
      <c r="T5" s="35">
        <v>15</v>
      </c>
      <c r="U5" s="35" t="s">
        <v>25</v>
      </c>
      <c r="V5" s="37">
        <f t="shared" si="0"/>
        <v>0.16849999999999998</v>
      </c>
      <c r="W5" s="38" t="s">
        <v>126</v>
      </c>
      <c r="X5" s="39" t="s">
        <v>121</v>
      </c>
      <c r="Y5" s="40" t="s">
        <v>1901</v>
      </c>
      <c r="Z5" s="41">
        <f>V5*AE5</f>
        <v>6.7400000000000002E-2</v>
      </c>
      <c r="AA5" s="38" t="s">
        <v>116</v>
      </c>
      <c r="AB5" s="39" t="s">
        <v>107</v>
      </c>
      <c r="AC5" s="40" t="s">
        <v>1906</v>
      </c>
      <c r="AD5" s="32" t="s">
        <v>183</v>
      </c>
      <c r="AE5" s="42">
        <v>0.4</v>
      </c>
      <c r="AF5" s="33" t="s">
        <v>34</v>
      </c>
    </row>
    <row r="6" spans="2:32" ht="86.4" x14ac:dyDescent="0.3">
      <c r="B6" s="53" t="s">
        <v>42</v>
      </c>
      <c r="C6" s="3" t="s">
        <v>119</v>
      </c>
      <c r="D6" s="19" t="s">
        <v>120</v>
      </c>
      <c r="E6" s="5" t="s">
        <v>43</v>
      </c>
      <c r="F6" s="5" t="s">
        <v>44</v>
      </c>
      <c r="G6" s="5" t="s">
        <v>1547</v>
      </c>
      <c r="H6" s="5" t="s">
        <v>1545</v>
      </c>
      <c r="I6" s="21" t="s">
        <v>45</v>
      </c>
      <c r="J6" s="4" t="s">
        <v>46</v>
      </c>
      <c r="K6" s="4" t="s">
        <v>46</v>
      </c>
      <c r="L6" s="5" t="s">
        <v>1444</v>
      </c>
      <c r="M6" s="5" t="s">
        <v>47</v>
      </c>
      <c r="N6" s="5" t="s">
        <v>48</v>
      </c>
      <c r="O6" s="5" t="s">
        <v>49</v>
      </c>
      <c r="P6" s="21" t="s">
        <v>58</v>
      </c>
      <c r="Q6" s="21" t="s">
        <v>1878</v>
      </c>
      <c r="R6" s="5" t="s">
        <v>103</v>
      </c>
      <c r="S6" s="46" t="s">
        <v>50</v>
      </c>
      <c r="T6" s="5" t="s">
        <v>142</v>
      </c>
      <c r="U6" s="5" t="s">
        <v>1450</v>
      </c>
      <c r="V6" s="26">
        <f>0.0674/AE6</f>
        <v>0.12254545454545454</v>
      </c>
      <c r="W6" s="47" t="s">
        <v>144</v>
      </c>
      <c r="X6" s="25" t="s">
        <v>122</v>
      </c>
      <c r="Y6" s="49" t="s">
        <v>1902</v>
      </c>
      <c r="Z6" s="50">
        <f t="shared" ref="Z6" si="1">V6*AE6</f>
        <v>6.7400000000000002E-2</v>
      </c>
      <c r="AA6" s="47" t="s">
        <v>127</v>
      </c>
      <c r="AB6" s="25" t="s">
        <v>123</v>
      </c>
      <c r="AC6" s="49" t="s">
        <v>1907</v>
      </c>
      <c r="AD6" s="5" t="s">
        <v>182</v>
      </c>
      <c r="AE6" s="14">
        <v>0.55000000000000004</v>
      </c>
      <c r="AF6" s="15" t="s">
        <v>34</v>
      </c>
    </row>
    <row r="7" spans="2:32" ht="86.4" x14ac:dyDescent="0.3">
      <c r="B7" s="54" t="s">
        <v>42</v>
      </c>
      <c r="C7" s="30" t="s">
        <v>995</v>
      </c>
      <c r="D7" s="31" t="s">
        <v>120</v>
      </c>
      <c r="E7" s="32" t="s">
        <v>51</v>
      </c>
      <c r="F7" s="32" t="s">
        <v>52</v>
      </c>
      <c r="G7" s="32" t="s">
        <v>1548</v>
      </c>
      <c r="H7" s="32" t="s">
        <v>1546</v>
      </c>
      <c r="I7" s="43" t="s">
        <v>45</v>
      </c>
      <c r="J7" s="34" t="s">
        <v>46</v>
      </c>
      <c r="K7" s="34" t="s">
        <v>46</v>
      </c>
      <c r="L7" s="32" t="s">
        <v>1444</v>
      </c>
      <c r="M7" s="32" t="s">
        <v>47</v>
      </c>
      <c r="N7" s="32" t="s">
        <v>48</v>
      </c>
      <c r="O7" s="32" t="s">
        <v>49</v>
      </c>
      <c r="P7" s="43" t="s">
        <v>58</v>
      </c>
      <c r="Q7" s="43" t="s">
        <v>1878</v>
      </c>
      <c r="R7" s="32" t="s">
        <v>103</v>
      </c>
      <c r="S7" s="45" t="s">
        <v>50</v>
      </c>
      <c r="T7" s="32" t="s">
        <v>142</v>
      </c>
      <c r="U7" s="32" t="s">
        <v>1450</v>
      </c>
      <c r="V7" s="37">
        <f>0.0674/AE7</f>
        <v>0.12254545454545454</v>
      </c>
      <c r="W7" s="48" t="s">
        <v>144</v>
      </c>
      <c r="X7" s="39" t="s">
        <v>122</v>
      </c>
      <c r="Y7" s="52" t="s">
        <v>1902</v>
      </c>
      <c r="Z7" s="51">
        <f>V7*AE7</f>
        <v>6.7400000000000002E-2</v>
      </c>
      <c r="AA7" s="48" t="s">
        <v>127</v>
      </c>
      <c r="AB7" s="39" t="s">
        <v>123</v>
      </c>
      <c r="AC7" s="52" t="s">
        <v>1907</v>
      </c>
      <c r="AD7" s="32" t="s">
        <v>182</v>
      </c>
      <c r="AE7" s="42">
        <v>0.55000000000000004</v>
      </c>
      <c r="AF7" s="33" t="s">
        <v>34</v>
      </c>
    </row>
    <row r="8" spans="2:32" ht="86.4" x14ac:dyDescent="0.3">
      <c r="B8" s="58" t="s">
        <v>128</v>
      </c>
      <c r="C8" s="3" t="s">
        <v>140</v>
      </c>
      <c r="D8" s="7" t="s">
        <v>141</v>
      </c>
      <c r="E8" s="5" t="s">
        <v>129</v>
      </c>
      <c r="F8" s="5" t="s">
        <v>130</v>
      </c>
      <c r="G8" s="5" t="s">
        <v>1549</v>
      </c>
      <c r="H8" s="5" t="s">
        <v>1550</v>
      </c>
      <c r="I8" s="21" t="s">
        <v>45</v>
      </c>
      <c r="J8" s="55" t="s">
        <v>131</v>
      </c>
      <c r="K8" s="55" t="s">
        <v>131</v>
      </c>
      <c r="L8" s="5" t="s">
        <v>1451</v>
      </c>
      <c r="M8" s="5" t="s">
        <v>132</v>
      </c>
      <c r="N8" s="5" t="s">
        <v>133</v>
      </c>
      <c r="O8" s="5" t="s">
        <v>1452</v>
      </c>
      <c r="P8" s="19" t="s">
        <v>60</v>
      </c>
      <c r="Q8" s="21" t="s">
        <v>1879</v>
      </c>
      <c r="R8" s="5" t="s">
        <v>103</v>
      </c>
      <c r="S8" s="10" t="s">
        <v>134</v>
      </c>
      <c r="T8" s="5" t="s">
        <v>135</v>
      </c>
      <c r="U8" s="5" t="s">
        <v>1453</v>
      </c>
      <c r="V8" s="4" t="s">
        <v>173</v>
      </c>
      <c r="W8" s="47" t="s">
        <v>143</v>
      </c>
      <c r="X8" s="25" t="s">
        <v>145</v>
      </c>
      <c r="Y8" s="49" t="s">
        <v>146</v>
      </c>
      <c r="Z8" s="22" t="s">
        <v>147</v>
      </c>
      <c r="AA8" s="47" t="s">
        <v>149</v>
      </c>
      <c r="AB8" s="25" t="s">
        <v>150</v>
      </c>
      <c r="AC8" s="49" t="s">
        <v>151</v>
      </c>
      <c r="AD8" t="s">
        <v>1454</v>
      </c>
      <c r="AE8" s="14">
        <v>0.45</v>
      </c>
      <c r="AF8" s="15" t="s">
        <v>34</v>
      </c>
    </row>
    <row r="9" spans="2:32" ht="86.4" customHeight="1" x14ac:dyDescent="0.3">
      <c r="B9" s="59" t="s">
        <v>128</v>
      </c>
      <c r="C9" s="30" t="s">
        <v>1911</v>
      </c>
      <c r="D9" s="56" t="s">
        <v>141</v>
      </c>
      <c r="E9" s="32" t="s">
        <v>136</v>
      </c>
      <c r="F9" s="32" t="s">
        <v>137</v>
      </c>
      <c r="G9" s="32" t="s">
        <v>1551</v>
      </c>
      <c r="H9" s="32" t="s">
        <v>1552</v>
      </c>
      <c r="I9" s="43" t="s">
        <v>45</v>
      </c>
      <c r="J9" s="57" t="s">
        <v>131</v>
      </c>
      <c r="K9" s="57" t="s">
        <v>131</v>
      </c>
      <c r="L9" s="32" t="s">
        <v>1451</v>
      </c>
      <c r="M9" s="32" t="s">
        <v>138</v>
      </c>
      <c r="N9" s="32" t="s">
        <v>133</v>
      </c>
      <c r="O9" s="32" t="s">
        <v>139</v>
      </c>
      <c r="P9" s="31" t="s">
        <v>60</v>
      </c>
      <c r="Q9" s="43" t="s">
        <v>1879</v>
      </c>
      <c r="R9" s="32" t="s">
        <v>103</v>
      </c>
      <c r="S9" s="36" t="s">
        <v>134</v>
      </c>
      <c r="T9" s="32" t="s">
        <v>135</v>
      </c>
      <c r="U9" s="32" t="s">
        <v>1453</v>
      </c>
      <c r="V9" s="34" t="s">
        <v>174</v>
      </c>
      <c r="W9" s="48" t="s">
        <v>143</v>
      </c>
      <c r="X9" s="39" t="s">
        <v>145</v>
      </c>
      <c r="Y9" s="52" t="s">
        <v>146</v>
      </c>
      <c r="Z9" s="44" t="s">
        <v>148</v>
      </c>
      <c r="AA9" s="48" t="s">
        <v>149</v>
      </c>
      <c r="AB9" s="39" t="s">
        <v>150</v>
      </c>
      <c r="AC9" s="52" t="s">
        <v>151</v>
      </c>
      <c r="AD9" s="35" t="s">
        <v>1454</v>
      </c>
      <c r="AE9" s="42">
        <v>0.45</v>
      </c>
      <c r="AF9" s="33" t="s">
        <v>34</v>
      </c>
    </row>
    <row r="10" spans="2:32" ht="86.4" customHeight="1" x14ac:dyDescent="0.3">
      <c r="B10" s="61" t="s">
        <v>157</v>
      </c>
      <c r="C10" s="3" t="s">
        <v>159</v>
      </c>
      <c r="D10" s="7" t="s">
        <v>172</v>
      </c>
      <c r="E10" s="5" t="s">
        <v>166</v>
      </c>
      <c r="F10" s="5" t="s">
        <v>167</v>
      </c>
      <c r="G10" s="5" t="s">
        <v>1558</v>
      </c>
      <c r="H10" s="5" t="s">
        <v>1557</v>
      </c>
      <c r="I10" s="21" t="s">
        <v>45</v>
      </c>
      <c r="J10" s="4" t="s">
        <v>152</v>
      </c>
      <c r="K10" s="4" t="s">
        <v>152</v>
      </c>
      <c r="L10" s="5" t="s">
        <v>153</v>
      </c>
      <c r="M10" s="5" t="s">
        <v>164</v>
      </c>
      <c r="N10" t="s">
        <v>165</v>
      </c>
      <c r="O10" s="5" t="s">
        <v>1426</v>
      </c>
      <c r="P10" s="19" t="s">
        <v>61</v>
      </c>
      <c r="Q10" s="19" t="s">
        <v>1880</v>
      </c>
      <c r="R10" s="5" t="s">
        <v>103</v>
      </c>
      <c r="S10" s="10" t="s">
        <v>26</v>
      </c>
      <c r="T10">
        <v>20</v>
      </c>
      <c r="U10" t="s">
        <v>25</v>
      </c>
      <c r="V10" s="13">
        <f>0.0674/AE10</f>
        <v>6.8775510204081639E-2</v>
      </c>
      <c r="W10" s="47" t="s">
        <v>175</v>
      </c>
      <c r="X10" s="67" t="s">
        <v>104</v>
      </c>
      <c r="Y10" s="69" t="s">
        <v>1903</v>
      </c>
      <c r="Z10" s="50">
        <f t="shared" ref="Z10:Z37" si="2">V10*AE10</f>
        <v>6.7400000000000002E-2</v>
      </c>
      <c r="AA10" s="47" t="s">
        <v>177</v>
      </c>
      <c r="AB10" s="67" t="s">
        <v>181</v>
      </c>
      <c r="AC10" s="69" t="s">
        <v>1908</v>
      </c>
      <c r="AD10" s="5" t="s">
        <v>154</v>
      </c>
      <c r="AE10" s="14">
        <v>0.98</v>
      </c>
      <c r="AF10" s="15" t="s">
        <v>34</v>
      </c>
    </row>
    <row r="11" spans="2:32" ht="99" customHeight="1" x14ac:dyDescent="0.3">
      <c r="B11" s="62" t="s">
        <v>157</v>
      </c>
      <c r="C11" s="3" t="s">
        <v>160</v>
      </c>
      <c r="D11" s="7" t="s">
        <v>162</v>
      </c>
      <c r="E11" s="5" t="s">
        <v>168</v>
      </c>
      <c r="F11" s="5" t="s">
        <v>169</v>
      </c>
      <c r="G11" s="5" t="s">
        <v>1559</v>
      </c>
      <c r="H11" s="5" t="s">
        <v>1560</v>
      </c>
      <c r="I11" s="21" t="s">
        <v>45</v>
      </c>
      <c r="J11" s="4" t="s">
        <v>152</v>
      </c>
      <c r="K11" s="4" t="s">
        <v>152</v>
      </c>
      <c r="L11" s="5" t="s">
        <v>153</v>
      </c>
      <c r="M11" s="5" t="s">
        <v>155</v>
      </c>
      <c r="N11" t="s">
        <v>156</v>
      </c>
      <c r="O11" s="5" t="s">
        <v>1440</v>
      </c>
      <c r="P11" s="19" t="s">
        <v>61</v>
      </c>
      <c r="Q11" s="19" t="s">
        <v>1881</v>
      </c>
      <c r="R11" s="5" t="s">
        <v>103</v>
      </c>
      <c r="S11" s="10" t="s">
        <v>26</v>
      </c>
      <c r="T11">
        <v>20</v>
      </c>
      <c r="U11" t="s">
        <v>25</v>
      </c>
      <c r="V11" s="13">
        <f t="shared" ref="V11:V12" si="3">0.0674/AE11</f>
        <v>6.4190476190476187E-2</v>
      </c>
      <c r="W11" s="65" t="s">
        <v>180</v>
      </c>
      <c r="X11" s="67" t="s">
        <v>104</v>
      </c>
      <c r="Y11" s="69" t="s">
        <v>1904</v>
      </c>
      <c r="Z11" s="50">
        <f t="shared" si="2"/>
        <v>6.7400000000000002E-2</v>
      </c>
      <c r="AA11" s="65" t="s">
        <v>179</v>
      </c>
      <c r="AB11" s="67" t="s">
        <v>181</v>
      </c>
      <c r="AC11" s="69" t="s">
        <v>1908</v>
      </c>
      <c r="AD11" s="5" t="s">
        <v>154</v>
      </c>
      <c r="AE11" s="14">
        <v>1.05</v>
      </c>
      <c r="AF11" s="15" t="s">
        <v>34</v>
      </c>
    </row>
    <row r="12" spans="2:32" ht="86.4" customHeight="1" x14ac:dyDescent="0.3">
      <c r="B12" s="63" t="s">
        <v>158</v>
      </c>
      <c r="C12" s="30" t="s">
        <v>161</v>
      </c>
      <c r="D12" s="56" t="s">
        <v>163</v>
      </c>
      <c r="E12" s="32" t="s">
        <v>170</v>
      </c>
      <c r="F12" s="32" t="s">
        <v>171</v>
      </c>
      <c r="G12" s="32" t="s">
        <v>1561</v>
      </c>
      <c r="H12" s="32" t="s">
        <v>1562</v>
      </c>
      <c r="I12" s="43" t="s">
        <v>45</v>
      </c>
      <c r="J12" s="34" t="s">
        <v>1897</v>
      </c>
      <c r="K12" s="34" t="s">
        <v>1897</v>
      </c>
      <c r="L12" s="32" t="s">
        <v>153</v>
      </c>
      <c r="M12" s="32" t="s">
        <v>155</v>
      </c>
      <c r="N12" s="35" t="s">
        <v>156</v>
      </c>
      <c r="O12" s="32" t="s">
        <v>1440</v>
      </c>
      <c r="P12" s="31" t="s">
        <v>63</v>
      </c>
      <c r="Q12" s="31" t="s">
        <v>1882</v>
      </c>
      <c r="R12" s="32" t="s">
        <v>103</v>
      </c>
      <c r="S12" s="36" t="s">
        <v>26</v>
      </c>
      <c r="T12" s="35">
        <v>25</v>
      </c>
      <c r="U12" s="35" t="s">
        <v>25</v>
      </c>
      <c r="V12" s="64">
        <f t="shared" si="3"/>
        <v>7.2473118279569884E-2</v>
      </c>
      <c r="W12" s="66" t="s">
        <v>176</v>
      </c>
      <c r="X12" s="70" t="s">
        <v>104</v>
      </c>
      <c r="Y12" s="71" t="s">
        <v>1905</v>
      </c>
      <c r="Z12" s="51">
        <f t="shared" si="2"/>
        <v>6.7400000000000002E-2</v>
      </c>
      <c r="AA12" s="66" t="s">
        <v>178</v>
      </c>
      <c r="AB12" s="70" t="s">
        <v>181</v>
      </c>
      <c r="AC12" s="71" t="s">
        <v>1909</v>
      </c>
      <c r="AD12" s="32" t="s">
        <v>154</v>
      </c>
      <c r="AE12" s="42">
        <v>0.93</v>
      </c>
      <c r="AF12" s="33" t="s">
        <v>34</v>
      </c>
    </row>
    <row r="13" spans="2:32" ht="57.6" x14ac:dyDescent="0.3">
      <c r="B13" s="72" t="s">
        <v>1200</v>
      </c>
      <c r="C13" s="3" t="s">
        <v>197</v>
      </c>
      <c r="D13" s="7" t="s">
        <v>196</v>
      </c>
      <c r="E13" s="5" t="s">
        <v>184</v>
      </c>
      <c r="F13" t="s">
        <v>185</v>
      </c>
      <c r="G13" s="5" t="s">
        <v>1563</v>
      </c>
      <c r="H13" s="5" t="s">
        <v>1564</v>
      </c>
      <c r="I13" s="21" t="s">
        <v>45</v>
      </c>
      <c r="J13">
        <v>10</v>
      </c>
      <c r="K13">
        <v>10</v>
      </c>
      <c r="L13" t="s">
        <v>1392</v>
      </c>
      <c r="M13" s="8" t="s">
        <v>186</v>
      </c>
      <c r="N13" s="8" t="s">
        <v>187</v>
      </c>
      <c r="O13" s="8" t="s">
        <v>1466</v>
      </c>
      <c r="P13" s="19" t="s">
        <v>64</v>
      </c>
      <c r="Q13" s="19" t="s">
        <v>1883</v>
      </c>
      <c r="R13" s="5" t="s">
        <v>103</v>
      </c>
      <c r="S13" s="10" t="s">
        <v>188</v>
      </c>
      <c r="T13">
        <v>20</v>
      </c>
      <c r="U13" s="5" t="s">
        <v>25</v>
      </c>
      <c r="V13" s="4" t="s">
        <v>201</v>
      </c>
      <c r="W13" s="74" t="s">
        <v>202</v>
      </c>
      <c r="X13" s="75" t="s">
        <v>212</v>
      </c>
      <c r="Y13" s="79" t="s">
        <v>203</v>
      </c>
      <c r="Z13" s="68" t="s">
        <v>204</v>
      </c>
      <c r="AA13" s="47" t="s">
        <v>205</v>
      </c>
      <c r="AB13" s="75" t="s">
        <v>217</v>
      </c>
      <c r="AC13" s="79" t="s">
        <v>206</v>
      </c>
      <c r="AD13" s="5" t="s">
        <v>189</v>
      </c>
      <c r="AE13" s="11">
        <v>3.26</v>
      </c>
      <c r="AF13" s="15" t="s">
        <v>34</v>
      </c>
    </row>
    <row r="14" spans="2:32" ht="57.6" x14ac:dyDescent="0.3">
      <c r="B14" s="72" t="s">
        <v>1200</v>
      </c>
      <c r="C14" s="3" t="s">
        <v>198</v>
      </c>
      <c r="D14" s="7" t="s">
        <v>196</v>
      </c>
      <c r="E14" s="5" t="s">
        <v>190</v>
      </c>
      <c r="F14" t="s">
        <v>191</v>
      </c>
      <c r="G14" s="5" t="s">
        <v>1565</v>
      </c>
      <c r="H14" s="5" t="s">
        <v>1566</v>
      </c>
      <c r="I14" s="21" t="s">
        <v>45</v>
      </c>
      <c r="J14">
        <v>10</v>
      </c>
      <c r="K14">
        <v>10</v>
      </c>
      <c r="L14" t="s">
        <v>1392</v>
      </c>
      <c r="M14" s="8" t="s">
        <v>186</v>
      </c>
      <c r="N14" s="8" t="s">
        <v>187</v>
      </c>
      <c r="O14" s="8" t="s">
        <v>1466</v>
      </c>
      <c r="P14" s="19" t="s">
        <v>64</v>
      </c>
      <c r="Q14" s="19" t="s">
        <v>1883</v>
      </c>
      <c r="R14" s="5" t="s">
        <v>103</v>
      </c>
      <c r="S14" s="10" t="s">
        <v>188</v>
      </c>
      <c r="T14">
        <v>20</v>
      </c>
      <c r="U14" s="5" t="s">
        <v>25</v>
      </c>
      <c r="V14" s="4">
        <v>5.8250000000000003E-2</v>
      </c>
      <c r="W14" s="74" t="s">
        <v>202</v>
      </c>
      <c r="X14" s="75" t="s">
        <v>211</v>
      </c>
      <c r="Y14" s="79" t="s">
        <v>203</v>
      </c>
      <c r="Z14" s="22">
        <f t="shared" si="2"/>
        <v>0.18989500000000001</v>
      </c>
      <c r="AA14" s="47" t="s">
        <v>205</v>
      </c>
      <c r="AB14" s="75" t="s">
        <v>216</v>
      </c>
      <c r="AC14" s="79" t="s">
        <v>206</v>
      </c>
      <c r="AD14" s="5" t="s">
        <v>189</v>
      </c>
      <c r="AE14" s="11">
        <v>3.26</v>
      </c>
      <c r="AF14" s="15" t="s">
        <v>34</v>
      </c>
    </row>
    <row r="15" spans="2:32" ht="57.6" x14ac:dyDescent="0.3">
      <c r="B15" s="72" t="s">
        <v>1200</v>
      </c>
      <c r="C15" s="3" t="s">
        <v>199</v>
      </c>
      <c r="D15" s="7" t="s">
        <v>196</v>
      </c>
      <c r="E15" s="5" t="s">
        <v>192</v>
      </c>
      <c r="F15" t="s">
        <v>193</v>
      </c>
      <c r="G15" s="5" t="s">
        <v>1567</v>
      </c>
      <c r="H15" s="5" t="s">
        <v>1568</v>
      </c>
      <c r="I15" s="21" t="s">
        <v>45</v>
      </c>
      <c r="J15">
        <v>10</v>
      </c>
      <c r="K15">
        <v>10</v>
      </c>
      <c r="L15" t="s">
        <v>1392</v>
      </c>
      <c r="M15" s="8" t="s">
        <v>186</v>
      </c>
      <c r="N15" s="8" t="s">
        <v>187</v>
      </c>
      <c r="O15" s="8" t="s">
        <v>1466</v>
      </c>
      <c r="P15" s="19" t="s">
        <v>64</v>
      </c>
      <c r="Q15" s="19" t="s">
        <v>1883</v>
      </c>
      <c r="R15" s="5" t="s">
        <v>103</v>
      </c>
      <c r="S15" s="10" t="s">
        <v>188</v>
      </c>
      <c r="T15">
        <v>20</v>
      </c>
      <c r="U15" s="5" t="s">
        <v>25</v>
      </c>
      <c r="V15" s="4">
        <v>5.8250000000000003E-2</v>
      </c>
      <c r="W15" s="74" t="s">
        <v>202</v>
      </c>
      <c r="X15" s="75" t="s">
        <v>211</v>
      </c>
      <c r="Y15" s="79" t="s">
        <v>203</v>
      </c>
      <c r="Z15" s="22">
        <f t="shared" si="2"/>
        <v>0.18989500000000001</v>
      </c>
      <c r="AA15" s="47" t="s">
        <v>205</v>
      </c>
      <c r="AB15" s="75" t="s">
        <v>216</v>
      </c>
      <c r="AC15" s="79" t="s">
        <v>206</v>
      </c>
      <c r="AD15" s="5" t="s">
        <v>189</v>
      </c>
      <c r="AE15" s="11">
        <v>3.26</v>
      </c>
      <c r="AF15" s="15" t="s">
        <v>34</v>
      </c>
    </row>
    <row r="16" spans="2:32" ht="57.6" x14ac:dyDescent="0.3">
      <c r="B16" s="73" t="s">
        <v>1200</v>
      </c>
      <c r="C16" s="30" t="s">
        <v>200</v>
      </c>
      <c r="D16" s="56" t="s">
        <v>196</v>
      </c>
      <c r="E16" s="32" t="s">
        <v>194</v>
      </c>
      <c r="F16" s="35" t="s">
        <v>195</v>
      </c>
      <c r="G16" s="32" t="s">
        <v>1569</v>
      </c>
      <c r="H16" s="32" t="s">
        <v>1570</v>
      </c>
      <c r="I16" s="43" t="s">
        <v>45</v>
      </c>
      <c r="J16" s="35">
        <v>10</v>
      </c>
      <c r="K16" s="35">
        <v>10</v>
      </c>
      <c r="L16" s="35" t="s">
        <v>1392</v>
      </c>
      <c r="M16" s="76" t="s">
        <v>186</v>
      </c>
      <c r="N16" s="76" t="s">
        <v>187</v>
      </c>
      <c r="O16" s="76" t="s">
        <v>1466</v>
      </c>
      <c r="P16" s="31" t="s">
        <v>64</v>
      </c>
      <c r="Q16" s="31" t="s">
        <v>1883</v>
      </c>
      <c r="R16" s="32" t="s">
        <v>103</v>
      </c>
      <c r="S16" s="36" t="s">
        <v>188</v>
      </c>
      <c r="T16" s="35">
        <v>20</v>
      </c>
      <c r="U16" s="32" t="s">
        <v>25</v>
      </c>
      <c r="V16" s="34">
        <v>5.8250000000000003E-2</v>
      </c>
      <c r="W16" s="77" t="s">
        <v>202</v>
      </c>
      <c r="X16" s="78" t="s">
        <v>211</v>
      </c>
      <c r="Y16" s="80" t="s">
        <v>203</v>
      </c>
      <c r="Z16" s="44">
        <f t="shared" si="2"/>
        <v>0.18989500000000001</v>
      </c>
      <c r="AA16" s="48" t="s">
        <v>205</v>
      </c>
      <c r="AB16" s="78" t="s">
        <v>216</v>
      </c>
      <c r="AC16" s="80" t="s">
        <v>206</v>
      </c>
      <c r="AD16" s="32" t="s">
        <v>189</v>
      </c>
      <c r="AE16" s="60">
        <v>3.26</v>
      </c>
      <c r="AF16" s="33" t="s">
        <v>34</v>
      </c>
    </row>
    <row r="17" spans="2:32" ht="57.6" x14ac:dyDescent="0.3">
      <c r="B17" s="244" t="s">
        <v>1201</v>
      </c>
      <c r="C17" s="3" t="s">
        <v>1594</v>
      </c>
      <c r="D17" s="7" t="s">
        <v>1598</v>
      </c>
      <c r="E17" s="5" t="s">
        <v>1611</v>
      </c>
      <c r="F17" t="s">
        <v>1612</v>
      </c>
      <c r="G17" s="5" t="s">
        <v>1631</v>
      </c>
      <c r="H17" s="5" t="s">
        <v>1632</v>
      </c>
      <c r="I17" s="21" t="s">
        <v>45</v>
      </c>
      <c r="J17">
        <v>10</v>
      </c>
      <c r="K17">
        <v>10</v>
      </c>
      <c r="L17" t="s">
        <v>1392</v>
      </c>
      <c r="M17" s="8" t="s">
        <v>186</v>
      </c>
      <c r="N17" s="8" t="s">
        <v>187</v>
      </c>
      <c r="O17" s="8" t="s">
        <v>1466</v>
      </c>
      <c r="P17" s="19" t="s">
        <v>1645</v>
      </c>
      <c r="Q17" s="19" t="s">
        <v>1884</v>
      </c>
      <c r="R17" s="5" t="s">
        <v>103</v>
      </c>
      <c r="S17" s="10" t="s">
        <v>188</v>
      </c>
      <c r="T17">
        <v>20</v>
      </c>
      <c r="U17" s="5" t="s">
        <v>25</v>
      </c>
      <c r="V17" s="4" t="s">
        <v>1621</v>
      </c>
      <c r="W17" s="74" t="s">
        <v>202</v>
      </c>
      <c r="X17" s="75" t="s">
        <v>212</v>
      </c>
      <c r="Y17" s="79" t="s">
        <v>203</v>
      </c>
      <c r="Z17" s="68" t="s">
        <v>204</v>
      </c>
      <c r="AA17" s="47" t="s">
        <v>205</v>
      </c>
      <c r="AB17" s="75" t="s">
        <v>217</v>
      </c>
      <c r="AC17" s="79" t="s">
        <v>206</v>
      </c>
      <c r="AD17" s="5" t="s">
        <v>189</v>
      </c>
      <c r="AE17" s="11">
        <v>2.96</v>
      </c>
      <c r="AF17" s="15" t="s">
        <v>34</v>
      </c>
    </row>
    <row r="18" spans="2:32" ht="57.6" x14ac:dyDescent="0.3">
      <c r="B18" s="244" t="s">
        <v>1201</v>
      </c>
      <c r="C18" s="3" t="s">
        <v>1595</v>
      </c>
      <c r="D18" s="7" t="s">
        <v>1598</v>
      </c>
      <c r="E18" s="5" t="s">
        <v>1613</v>
      </c>
      <c r="F18" t="s">
        <v>1614</v>
      </c>
      <c r="G18" s="5" t="s">
        <v>1633</v>
      </c>
      <c r="H18" s="5" t="s">
        <v>1634</v>
      </c>
      <c r="I18" s="21" t="s">
        <v>45</v>
      </c>
      <c r="J18">
        <v>10</v>
      </c>
      <c r="K18">
        <v>10</v>
      </c>
      <c r="L18" t="s">
        <v>1392</v>
      </c>
      <c r="M18" s="8" t="s">
        <v>186</v>
      </c>
      <c r="N18" s="8" t="s">
        <v>187</v>
      </c>
      <c r="O18" s="8" t="s">
        <v>1466</v>
      </c>
      <c r="P18" s="19" t="s">
        <v>1645</v>
      </c>
      <c r="Q18" s="19" t="s">
        <v>1884</v>
      </c>
      <c r="R18" s="5" t="s">
        <v>103</v>
      </c>
      <c r="S18" s="10" t="s">
        <v>188</v>
      </c>
      <c r="T18">
        <v>20</v>
      </c>
      <c r="U18" s="5" t="s">
        <v>25</v>
      </c>
      <c r="V18" s="4">
        <v>6.4159999999999995E-2</v>
      </c>
      <c r="W18" s="74" t="s">
        <v>202</v>
      </c>
      <c r="X18" s="75" t="s">
        <v>211</v>
      </c>
      <c r="Y18" s="79" t="s">
        <v>203</v>
      </c>
      <c r="Z18" s="22">
        <f t="shared" ref="Z18:Z20" si="4">V18*AE18</f>
        <v>0.18991359999999999</v>
      </c>
      <c r="AA18" s="47" t="s">
        <v>205</v>
      </c>
      <c r="AB18" s="75" t="s">
        <v>216</v>
      </c>
      <c r="AC18" s="79" t="s">
        <v>206</v>
      </c>
      <c r="AD18" s="5" t="s">
        <v>189</v>
      </c>
      <c r="AE18" s="11">
        <v>2.96</v>
      </c>
      <c r="AF18" s="15" t="s">
        <v>34</v>
      </c>
    </row>
    <row r="19" spans="2:32" ht="57.6" x14ac:dyDescent="0.3">
      <c r="B19" s="244" t="s">
        <v>1201</v>
      </c>
      <c r="C19" s="3" t="s">
        <v>1596</v>
      </c>
      <c r="D19" s="7" t="s">
        <v>1598</v>
      </c>
      <c r="E19" s="5" t="s">
        <v>1615</v>
      </c>
      <c r="F19" t="s">
        <v>1616</v>
      </c>
      <c r="G19" s="5" t="s">
        <v>1635</v>
      </c>
      <c r="H19" s="5" t="s">
        <v>1636</v>
      </c>
      <c r="I19" s="21" t="s">
        <v>45</v>
      </c>
      <c r="J19">
        <v>10</v>
      </c>
      <c r="K19">
        <v>10</v>
      </c>
      <c r="L19" t="s">
        <v>1392</v>
      </c>
      <c r="M19" s="8" t="s">
        <v>186</v>
      </c>
      <c r="N19" s="8" t="s">
        <v>187</v>
      </c>
      <c r="O19" s="8" t="s">
        <v>1466</v>
      </c>
      <c r="P19" s="19" t="s">
        <v>1645</v>
      </c>
      <c r="Q19" s="19" t="s">
        <v>1884</v>
      </c>
      <c r="R19" s="5" t="s">
        <v>103</v>
      </c>
      <c r="S19" s="10" t="s">
        <v>188</v>
      </c>
      <c r="T19">
        <v>20</v>
      </c>
      <c r="U19" s="5" t="s">
        <v>25</v>
      </c>
      <c r="V19" s="4">
        <v>6.4159999999999995E-2</v>
      </c>
      <c r="W19" s="74" t="s">
        <v>202</v>
      </c>
      <c r="X19" s="75" t="s">
        <v>211</v>
      </c>
      <c r="Y19" s="79" t="s">
        <v>203</v>
      </c>
      <c r="Z19" s="22">
        <f t="shared" si="4"/>
        <v>0.18991359999999999</v>
      </c>
      <c r="AA19" s="47" t="s">
        <v>205</v>
      </c>
      <c r="AB19" s="75" t="s">
        <v>216</v>
      </c>
      <c r="AC19" s="79" t="s">
        <v>206</v>
      </c>
      <c r="AD19" s="5" t="s">
        <v>189</v>
      </c>
      <c r="AE19" s="11">
        <v>2.96</v>
      </c>
      <c r="AF19" s="15" t="s">
        <v>34</v>
      </c>
    </row>
    <row r="20" spans="2:32" ht="57.6" x14ac:dyDescent="0.3">
      <c r="B20" s="245" t="s">
        <v>1201</v>
      </c>
      <c r="C20" s="30" t="s">
        <v>1597</v>
      </c>
      <c r="D20" s="7" t="s">
        <v>1598</v>
      </c>
      <c r="E20" s="32" t="s">
        <v>1617</v>
      </c>
      <c r="F20" s="35" t="s">
        <v>1618</v>
      </c>
      <c r="G20" s="32" t="s">
        <v>1637</v>
      </c>
      <c r="H20" s="32" t="s">
        <v>1638</v>
      </c>
      <c r="I20" s="43" t="s">
        <v>45</v>
      </c>
      <c r="J20" s="35">
        <v>10</v>
      </c>
      <c r="K20" s="35">
        <v>10</v>
      </c>
      <c r="L20" s="35" t="s">
        <v>1392</v>
      </c>
      <c r="M20" s="76" t="s">
        <v>186</v>
      </c>
      <c r="N20" s="76" t="s">
        <v>187</v>
      </c>
      <c r="O20" s="76" t="s">
        <v>1466</v>
      </c>
      <c r="P20" s="19" t="s">
        <v>1645</v>
      </c>
      <c r="Q20" s="19" t="s">
        <v>1884</v>
      </c>
      <c r="R20" s="32" t="s">
        <v>103</v>
      </c>
      <c r="S20" s="36" t="s">
        <v>188</v>
      </c>
      <c r="T20" s="35">
        <v>20</v>
      </c>
      <c r="U20" s="32" t="s">
        <v>25</v>
      </c>
      <c r="V20" s="4">
        <v>6.4159999999999995E-2</v>
      </c>
      <c r="W20" s="77" t="s">
        <v>202</v>
      </c>
      <c r="X20" s="78" t="s">
        <v>211</v>
      </c>
      <c r="Y20" s="80" t="s">
        <v>203</v>
      </c>
      <c r="Z20" s="44">
        <f t="shared" si="4"/>
        <v>0.18991359999999999</v>
      </c>
      <c r="AA20" s="48" t="s">
        <v>205</v>
      </c>
      <c r="AB20" s="78" t="s">
        <v>216</v>
      </c>
      <c r="AC20" s="80" t="s">
        <v>206</v>
      </c>
      <c r="AD20" s="32" t="s">
        <v>189</v>
      </c>
      <c r="AE20" s="11">
        <v>2.96</v>
      </c>
      <c r="AF20" s="33" t="s">
        <v>34</v>
      </c>
    </row>
    <row r="21" spans="2:32" ht="57.6" x14ac:dyDescent="0.3">
      <c r="B21" s="81" t="s">
        <v>1277</v>
      </c>
      <c r="C21" s="82" t="s">
        <v>209</v>
      </c>
      <c r="D21" s="83" t="s">
        <v>210</v>
      </c>
      <c r="E21" s="84" t="s">
        <v>207</v>
      </c>
      <c r="F21" s="85" t="s">
        <v>208</v>
      </c>
      <c r="G21" s="84" t="s">
        <v>1571</v>
      </c>
      <c r="H21" s="84" t="s">
        <v>1572</v>
      </c>
      <c r="I21" s="86" t="s">
        <v>45</v>
      </c>
      <c r="J21" s="85">
        <v>10</v>
      </c>
      <c r="K21" s="85">
        <v>10</v>
      </c>
      <c r="L21" s="85" t="s">
        <v>1392</v>
      </c>
      <c r="M21" s="87" t="s">
        <v>186</v>
      </c>
      <c r="N21" s="87" t="s">
        <v>187</v>
      </c>
      <c r="O21" s="87" t="s">
        <v>1466</v>
      </c>
      <c r="P21" s="88" t="s">
        <v>65</v>
      </c>
      <c r="Q21" s="88" t="s">
        <v>1885</v>
      </c>
      <c r="R21" s="32" t="s">
        <v>103</v>
      </c>
      <c r="S21" s="89" t="s">
        <v>188</v>
      </c>
      <c r="T21" s="85">
        <v>20</v>
      </c>
      <c r="U21" s="84" t="s">
        <v>25</v>
      </c>
      <c r="V21" s="90">
        <v>4.1279999999999997E-2</v>
      </c>
      <c r="W21" s="91" t="s">
        <v>214</v>
      </c>
      <c r="X21" s="92" t="s">
        <v>211</v>
      </c>
      <c r="Y21" s="93" t="s">
        <v>213</v>
      </c>
      <c r="Z21" s="94">
        <f t="shared" si="2"/>
        <v>0.18988799999999997</v>
      </c>
      <c r="AA21" s="91" t="s">
        <v>215</v>
      </c>
      <c r="AB21" s="92" t="s">
        <v>216</v>
      </c>
      <c r="AC21" s="93" t="s">
        <v>218</v>
      </c>
      <c r="AD21" s="84" t="s">
        <v>189</v>
      </c>
      <c r="AE21" s="95">
        <v>4.5999999999999996</v>
      </c>
      <c r="AF21" s="96" t="s">
        <v>34</v>
      </c>
    </row>
    <row r="22" spans="2:32" ht="57.6" x14ac:dyDescent="0.3">
      <c r="B22" s="257" t="s">
        <v>1629</v>
      </c>
      <c r="C22" s="82" t="s">
        <v>1599</v>
      </c>
      <c r="D22" s="83" t="s">
        <v>1600</v>
      </c>
      <c r="E22" s="32" t="s">
        <v>1609</v>
      </c>
      <c r="F22" s="35" t="s">
        <v>1610</v>
      </c>
      <c r="G22" s="32" t="s">
        <v>1627</v>
      </c>
      <c r="H22" s="32" t="s">
        <v>1628</v>
      </c>
      <c r="I22" s="86" t="s">
        <v>45</v>
      </c>
      <c r="J22" s="85">
        <v>10</v>
      </c>
      <c r="K22" s="85">
        <v>10</v>
      </c>
      <c r="L22" s="85" t="s">
        <v>1392</v>
      </c>
      <c r="M22" s="87" t="s">
        <v>186</v>
      </c>
      <c r="N22" s="87" t="s">
        <v>187</v>
      </c>
      <c r="O22" s="87" t="s">
        <v>1466</v>
      </c>
      <c r="P22" s="88" t="s">
        <v>1646</v>
      </c>
      <c r="Q22" s="88" t="s">
        <v>1886</v>
      </c>
      <c r="R22" s="32" t="s">
        <v>103</v>
      </c>
      <c r="S22" s="89" t="s">
        <v>188</v>
      </c>
      <c r="T22" s="85">
        <v>20</v>
      </c>
      <c r="U22" s="84" t="s">
        <v>25</v>
      </c>
      <c r="V22" s="90">
        <v>3.9559999999999998E-2</v>
      </c>
      <c r="W22" s="91" t="s">
        <v>1620</v>
      </c>
      <c r="X22" s="92" t="s">
        <v>211</v>
      </c>
      <c r="Y22" s="93" t="s">
        <v>1619</v>
      </c>
      <c r="Z22" s="94">
        <f t="shared" ref="Z22" si="5">V22*AE22</f>
        <v>0.18988799999999997</v>
      </c>
      <c r="AA22" s="91" t="s">
        <v>215</v>
      </c>
      <c r="AB22" s="92" t="s">
        <v>216</v>
      </c>
      <c r="AC22" s="93" t="s">
        <v>218</v>
      </c>
      <c r="AD22" s="84" t="s">
        <v>189</v>
      </c>
      <c r="AE22" s="95">
        <v>4.8</v>
      </c>
      <c r="AF22" s="96" t="s">
        <v>34</v>
      </c>
    </row>
    <row r="23" spans="2:32" ht="57.6" x14ac:dyDescent="0.3">
      <c r="B23" s="107" t="s">
        <v>1206</v>
      </c>
      <c r="C23" s="3" t="s">
        <v>227</v>
      </c>
      <c r="D23" s="7" t="s">
        <v>225</v>
      </c>
      <c r="E23" s="5" t="s">
        <v>219</v>
      </c>
      <c r="F23" t="s">
        <v>220</v>
      </c>
      <c r="G23" s="5" t="s">
        <v>1573</v>
      </c>
      <c r="H23" s="5" t="s">
        <v>1574</v>
      </c>
      <c r="I23" s="21" t="s">
        <v>45</v>
      </c>
      <c r="J23">
        <v>10</v>
      </c>
      <c r="K23">
        <v>10</v>
      </c>
      <c r="L23" t="s">
        <v>1392</v>
      </c>
      <c r="M23" s="8" t="s">
        <v>186</v>
      </c>
      <c r="N23" s="8" t="s">
        <v>187</v>
      </c>
      <c r="O23" s="8" t="s">
        <v>1466</v>
      </c>
      <c r="P23" s="19" t="s">
        <v>66</v>
      </c>
      <c r="Q23" s="19" t="s">
        <v>1887</v>
      </c>
      <c r="R23" s="5" t="s">
        <v>103</v>
      </c>
      <c r="S23" s="10" t="s">
        <v>188</v>
      </c>
      <c r="T23" s="5" t="s">
        <v>221</v>
      </c>
      <c r="U23" t="s">
        <v>25</v>
      </c>
      <c r="V23" s="4" t="s">
        <v>228</v>
      </c>
      <c r="W23" s="25" t="s">
        <v>230</v>
      </c>
      <c r="X23" s="75" t="s">
        <v>233</v>
      </c>
      <c r="Y23" s="79" t="s">
        <v>203</v>
      </c>
      <c r="Z23" s="68" t="s">
        <v>204</v>
      </c>
      <c r="AA23" s="25" t="s">
        <v>231</v>
      </c>
      <c r="AB23" s="75" t="s">
        <v>234</v>
      </c>
      <c r="AC23" s="79" t="s">
        <v>206</v>
      </c>
      <c r="AD23" s="5" t="s">
        <v>222</v>
      </c>
      <c r="AE23" s="11">
        <v>4.3</v>
      </c>
      <c r="AF23" s="15" t="s">
        <v>34</v>
      </c>
    </row>
    <row r="24" spans="2:32" ht="57.6" x14ac:dyDescent="0.3">
      <c r="B24" s="107" t="s">
        <v>1206</v>
      </c>
      <c r="C24" s="3" t="s">
        <v>160</v>
      </c>
      <c r="D24" s="7" t="s">
        <v>225</v>
      </c>
      <c r="E24" s="5" t="s">
        <v>223</v>
      </c>
      <c r="F24" t="s">
        <v>224</v>
      </c>
      <c r="G24" s="5" t="s">
        <v>1575</v>
      </c>
      <c r="H24" s="5" t="s">
        <v>1576</v>
      </c>
      <c r="I24" s="21" t="s">
        <v>45</v>
      </c>
      <c r="J24">
        <v>10</v>
      </c>
      <c r="K24">
        <v>10</v>
      </c>
      <c r="L24" t="s">
        <v>1392</v>
      </c>
      <c r="M24" s="8" t="s">
        <v>186</v>
      </c>
      <c r="N24" s="8" t="s">
        <v>187</v>
      </c>
      <c r="O24" s="8" t="s">
        <v>1466</v>
      </c>
      <c r="P24" s="19" t="s">
        <v>66</v>
      </c>
      <c r="Q24" s="19" t="s">
        <v>1887</v>
      </c>
      <c r="R24" s="5" t="s">
        <v>103</v>
      </c>
      <c r="S24" s="10" t="s">
        <v>188</v>
      </c>
      <c r="T24" s="5" t="s">
        <v>221</v>
      </c>
      <c r="U24" t="s">
        <v>25</v>
      </c>
      <c r="V24" s="4">
        <v>4.4159999999999998E-2</v>
      </c>
      <c r="W24" s="25" t="s">
        <v>229</v>
      </c>
      <c r="X24" s="75" t="s">
        <v>121</v>
      </c>
      <c r="Y24" s="79" t="s">
        <v>203</v>
      </c>
      <c r="Z24" s="22">
        <f t="shared" si="2"/>
        <v>0.18988799999999997</v>
      </c>
      <c r="AA24" s="25" t="s">
        <v>232</v>
      </c>
      <c r="AB24" s="75" t="s">
        <v>235</v>
      </c>
      <c r="AC24" s="79" t="s">
        <v>206</v>
      </c>
      <c r="AD24" s="5" t="s">
        <v>222</v>
      </c>
      <c r="AE24" s="11">
        <v>4.3</v>
      </c>
      <c r="AF24" s="15" t="s">
        <v>34</v>
      </c>
    </row>
    <row r="25" spans="2:32" ht="57.6" x14ac:dyDescent="0.3">
      <c r="B25" s="108" t="s">
        <v>1206</v>
      </c>
      <c r="C25" s="30" t="s">
        <v>226</v>
      </c>
      <c r="D25" s="56" t="s">
        <v>225</v>
      </c>
      <c r="E25" s="32" t="s">
        <v>207</v>
      </c>
      <c r="F25" s="35" t="s">
        <v>208</v>
      </c>
      <c r="G25" s="32" t="s">
        <v>1571</v>
      </c>
      <c r="H25" s="32" t="s">
        <v>1572</v>
      </c>
      <c r="I25" s="43" t="s">
        <v>45</v>
      </c>
      <c r="J25" s="35">
        <v>10</v>
      </c>
      <c r="K25" s="35">
        <v>10</v>
      </c>
      <c r="L25" s="35" t="s">
        <v>1392</v>
      </c>
      <c r="M25" s="76" t="s">
        <v>186</v>
      </c>
      <c r="N25" s="76" t="s">
        <v>187</v>
      </c>
      <c r="O25" s="76" t="s">
        <v>1466</v>
      </c>
      <c r="P25" s="31" t="s">
        <v>66</v>
      </c>
      <c r="Q25" s="31" t="s">
        <v>1887</v>
      </c>
      <c r="R25" s="32" t="s">
        <v>103</v>
      </c>
      <c r="S25" s="36" t="s">
        <v>188</v>
      </c>
      <c r="T25" s="32" t="s">
        <v>221</v>
      </c>
      <c r="U25" s="35" t="s">
        <v>25</v>
      </c>
      <c r="V25" s="34">
        <v>4.4159999999999998E-2</v>
      </c>
      <c r="W25" s="39" t="s">
        <v>229</v>
      </c>
      <c r="X25" s="78" t="s">
        <v>121</v>
      </c>
      <c r="Y25" s="80" t="s">
        <v>203</v>
      </c>
      <c r="Z25" s="44">
        <f t="shared" si="2"/>
        <v>0.18988799999999997</v>
      </c>
      <c r="AA25" s="39" t="s">
        <v>232</v>
      </c>
      <c r="AB25" s="78" t="s">
        <v>235</v>
      </c>
      <c r="AC25" s="80" t="s">
        <v>206</v>
      </c>
      <c r="AD25" s="32" t="s">
        <v>222</v>
      </c>
      <c r="AE25" s="60">
        <v>4.3</v>
      </c>
      <c r="AF25" s="33" t="s">
        <v>34</v>
      </c>
    </row>
    <row r="26" spans="2:32" ht="57.6" x14ac:dyDescent="0.3">
      <c r="B26" s="247" t="s">
        <v>1207</v>
      </c>
      <c r="C26" s="3" t="s">
        <v>1602</v>
      </c>
      <c r="D26" s="7" t="s">
        <v>1601</v>
      </c>
      <c r="E26" s="5" t="s">
        <v>1605</v>
      </c>
      <c r="F26" t="s">
        <v>1606</v>
      </c>
      <c r="G26" s="5" t="s">
        <v>1623</v>
      </c>
      <c r="H26" s="5" t="s">
        <v>1624</v>
      </c>
      <c r="I26" s="21" t="s">
        <v>45</v>
      </c>
      <c r="J26">
        <v>10</v>
      </c>
      <c r="K26">
        <v>10</v>
      </c>
      <c r="L26" t="s">
        <v>1392</v>
      </c>
      <c r="M26" s="8" t="s">
        <v>186</v>
      </c>
      <c r="N26" s="8" t="s">
        <v>187</v>
      </c>
      <c r="O26" s="8" t="s">
        <v>1466</v>
      </c>
      <c r="P26" s="19" t="s">
        <v>1647</v>
      </c>
      <c r="Q26" s="19" t="s">
        <v>1888</v>
      </c>
      <c r="R26" s="5" t="s">
        <v>103</v>
      </c>
      <c r="S26" s="10" t="s">
        <v>188</v>
      </c>
      <c r="T26" s="5" t="s">
        <v>221</v>
      </c>
      <c r="U26" t="s">
        <v>25</v>
      </c>
      <c r="V26" s="4" t="s">
        <v>1622</v>
      </c>
      <c r="W26" s="25" t="s">
        <v>230</v>
      </c>
      <c r="X26" s="75" t="s">
        <v>233</v>
      </c>
      <c r="Y26" s="79" t="s">
        <v>203</v>
      </c>
      <c r="Z26" s="68" t="s">
        <v>204</v>
      </c>
      <c r="AA26" s="25" t="s">
        <v>231</v>
      </c>
      <c r="AB26" s="75" t="s">
        <v>234</v>
      </c>
      <c r="AC26" s="79" t="s">
        <v>206</v>
      </c>
      <c r="AD26" s="5" t="s">
        <v>222</v>
      </c>
      <c r="AE26" s="11">
        <v>4.9800000000000004</v>
      </c>
      <c r="AF26" s="15" t="s">
        <v>34</v>
      </c>
    </row>
    <row r="27" spans="2:32" ht="57.6" x14ac:dyDescent="0.3">
      <c r="B27" s="247" t="s">
        <v>1207</v>
      </c>
      <c r="C27" s="3" t="s">
        <v>1603</v>
      </c>
      <c r="D27" s="7" t="s">
        <v>1601</v>
      </c>
      <c r="E27" s="5" t="s">
        <v>1607</v>
      </c>
      <c r="F27" t="s">
        <v>1608</v>
      </c>
      <c r="G27" s="5" t="s">
        <v>1625</v>
      </c>
      <c r="H27" s="5" t="s">
        <v>1626</v>
      </c>
      <c r="I27" s="21" t="s">
        <v>45</v>
      </c>
      <c r="J27">
        <v>10</v>
      </c>
      <c r="K27">
        <v>10</v>
      </c>
      <c r="L27" t="s">
        <v>1392</v>
      </c>
      <c r="M27" s="8" t="s">
        <v>186</v>
      </c>
      <c r="N27" s="8" t="s">
        <v>187</v>
      </c>
      <c r="O27" s="8" t="s">
        <v>1466</v>
      </c>
      <c r="P27" s="19" t="s">
        <v>1647</v>
      </c>
      <c r="Q27" s="19" t="s">
        <v>1888</v>
      </c>
      <c r="R27" s="5" t="s">
        <v>103</v>
      </c>
      <c r="S27" s="10" t="s">
        <v>188</v>
      </c>
      <c r="T27" s="5" t="s">
        <v>221</v>
      </c>
      <c r="U27" t="s">
        <v>25</v>
      </c>
      <c r="V27" s="4">
        <v>5.7669999999999999E-2</v>
      </c>
      <c r="W27" s="25" t="s">
        <v>229</v>
      </c>
      <c r="X27" s="75" t="s">
        <v>121</v>
      </c>
      <c r="Y27" s="79" t="s">
        <v>203</v>
      </c>
      <c r="Z27" s="22">
        <f t="shared" ref="Z27:Z28" si="6">V27*AE27</f>
        <v>0.28719660000000002</v>
      </c>
      <c r="AA27" s="25" t="s">
        <v>232</v>
      </c>
      <c r="AB27" s="75" t="s">
        <v>235</v>
      </c>
      <c r="AC27" s="79" t="s">
        <v>206</v>
      </c>
      <c r="AD27" s="5" t="s">
        <v>222</v>
      </c>
      <c r="AE27" s="11">
        <v>4.9800000000000004</v>
      </c>
      <c r="AF27" s="15" t="s">
        <v>34</v>
      </c>
    </row>
    <row r="28" spans="2:32" ht="57.6" x14ac:dyDescent="0.3">
      <c r="B28" s="248" t="s">
        <v>1207</v>
      </c>
      <c r="C28" s="30" t="s">
        <v>1604</v>
      </c>
      <c r="D28" s="56" t="s">
        <v>1601</v>
      </c>
      <c r="E28" s="32" t="s">
        <v>1609</v>
      </c>
      <c r="F28" s="35" t="s">
        <v>1610</v>
      </c>
      <c r="G28" s="32" t="s">
        <v>1627</v>
      </c>
      <c r="H28" s="32" t="s">
        <v>1628</v>
      </c>
      <c r="I28" s="43" t="s">
        <v>45</v>
      </c>
      <c r="J28" s="35">
        <v>10</v>
      </c>
      <c r="K28" s="35">
        <v>10</v>
      </c>
      <c r="L28" s="35" t="s">
        <v>1392</v>
      </c>
      <c r="M28" s="76" t="s">
        <v>186</v>
      </c>
      <c r="N28" s="76" t="s">
        <v>187</v>
      </c>
      <c r="O28" s="76" t="s">
        <v>1466</v>
      </c>
      <c r="P28" s="31" t="s">
        <v>1647</v>
      </c>
      <c r="Q28" s="31" t="s">
        <v>1888</v>
      </c>
      <c r="R28" s="32" t="s">
        <v>103</v>
      </c>
      <c r="S28" s="36" t="s">
        <v>188</v>
      </c>
      <c r="T28" s="32" t="s">
        <v>221</v>
      </c>
      <c r="U28" s="35" t="s">
        <v>25</v>
      </c>
      <c r="V28" s="34">
        <v>5.7669999999999999E-2</v>
      </c>
      <c r="W28" s="39" t="s">
        <v>229</v>
      </c>
      <c r="X28" s="78" t="s">
        <v>121</v>
      </c>
      <c r="Y28" s="80" t="s">
        <v>203</v>
      </c>
      <c r="Z28" s="44">
        <f t="shared" si="6"/>
        <v>0.28719660000000002</v>
      </c>
      <c r="AA28" s="39" t="s">
        <v>232</v>
      </c>
      <c r="AB28" s="78" t="s">
        <v>235</v>
      </c>
      <c r="AC28" s="80" t="s">
        <v>206</v>
      </c>
      <c r="AD28" s="32" t="s">
        <v>222</v>
      </c>
      <c r="AE28" s="60">
        <v>4.9800000000000004</v>
      </c>
      <c r="AF28" s="33" t="s">
        <v>34</v>
      </c>
    </row>
    <row r="29" spans="2:32" ht="57.6" x14ac:dyDescent="0.3">
      <c r="B29" s="107" t="s">
        <v>1208</v>
      </c>
      <c r="C29" s="3" t="s">
        <v>227</v>
      </c>
      <c r="D29" s="7" t="s">
        <v>225</v>
      </c>
      <c r="E29" s="5" t="s">
        <v>219</v>
      </c>
      <c r="F29" t="s">
        <v>220</v>
      </c>
      <c r="G29" s="5" t="s">
        <v>1573</v>
      </c>
      <c r="H29" s="5" t="s">
        <v>1574</v>
      </c>
      <c r="I29" s="21" t="s">
        <v>45</v>
      </c>
      <c r="J29">
        <v>10</v>
      </c>
      <c r="K29">
        <v>10</v>
      </c>
      <c r="L29" t="s">
        <v>1392</v>
      </c>
      <c r="M29" s="8" t="s">
        <v>186</v>
      </c>
      <c r="N29" s="8" t="s">
        <v>187</v>
      </c>
      <c r="O29" s="8" t="s">
        <v>1466</v>
      </c>
      <c r="P29" s="19" t="s">
        <v>67</v>
      </c>
      <c r="Q29" s="19" t="s">
        <v>1889</v>
      </c>
      <c r="R29" s="5" t="s">
        <v>103</v>
      </c>
      <c r="S29" s="10" t="s">
        <v>188</v>
      </c>
      <c r="T29" s="5" t="s">
        <v>221</v>
      </c>
      <c r="U29" t="s">
        <v>25</v>
      </c>
      <c r="V29" s="4" t="s">
        <v>228</v>
      </c>
      <c r="W29" s="25" t="s">
        <v>230</v>
      </c>
      <c r="X29" s="75" t="s">
        <v>233</v>
      </c>
      <c r="Y29" s="79" t="s">
        <v>203</v>
      </c>
      <c r="Z29" s="68" t="s">
        <v>204</v>
      </c>
      <c r="AA29" s="25" t="s">
        <v>231</v>
      </c>
      <c r="AB29" s="75" t="s">
        <v>234</v>
      </c>
      <c r="AC29" s="79" t="s">
        <v>206</v>
      </c>
      <c r="AD29" s="5" t="s">
        <v>222</v>
      </c>
      <c r="AE29" s="11">
        <v>4.3</v>
      </c>
      <c r="AF29" s="15" t="s">
        <v>34</v>
      </c>
    </row>
    <row r="30" spans="2:32" ht="57.6" x14ac:dyDescent="0.3">
      <c r="B30" s="107" t="s">
        <v>1208</v>
      </c>
      <c r="C30" s="3" t="s">
        <v>160</v>
      </c>
      <c r="D30" s="7" t="s">
        <v>225</v>
      </c>
      <c r="E30" s="5" t="s">
        <v>223</v>
      </c>
      <c r="F30" t="s">
        <v>224</v>
      </c>
      <c r="G30" s="5" t="s">
        <v>1575</v>
      </c>
      <c r="H30" s="5" t="s">
        <v>1576</v>
      </c>
      <c r="I30" s="21" t="s">
        <v>45</v>
      </c>
      <c r="J30">
        <v>10</v>
      </c>
      <c r="K30">
        <v>10</v>
      </c>
      <c r="L30" t="s">
        <v>1392</v>
      </c>
      <c r="M30" s="8" t="s">
        <v>186</v>
      </c>
      <c r="N30" s="8" t="s">
        <v>187</v>
      </c>
      <c r="O30" s="8" t="s">
        <v>1466</v>
      </c>
      <c r="P30" s="19" t="s">
        <v>67</v>
      </c>
      <c r="Q30" s="19" t="s">
        <v>1889</v>
      </c>
      <c r="R30" s="5" t="s">
        <v>103</v>
      </c>
      <c r="S30" s="10" t="s">
        <v>188</v>
      </c>
      <c r="T30" s="5" t="s">
        <v>221</v>
      </c>
      <c r="U30" t="s">
        <v>25</v>
      </c>
      <c r="V30" s="4">
        <v>4.4159999999999998E-2</v>
      </c>
      <c r="W30" s="25" t="s">
        <v>229</v>
      </c>
      <c r="X30" s="75" t="s">
        <v>121</v>
      </c>
      <c r="Y30" s="79" t="s">
        <v>203</v>
      </c>
      <c r="Z30" s="22">
        <f t="shared" si="2"/>
        <v>0.18988799999999997</v>
      </c>
      <c r="AA30" s="25" t="s">
        <v>232</v>
      </c>
      <c r="AB30" s="75" t="s">
        <v>235</v>
      </c>
      <c r="AC30" s="79" t="s">
        <v>206</v>
      </c>
      <c r="AD30" s="5" t="s">
        <v>222</v>
      </c>
      <c r="AE30" s="11">
        <v>4.3</v>
      </c>
      <c r="AF30" s="15" t="s">
        <v>34</v>
      </c>
    </row>
    <row r="31" spans="2:32" ht="57.6" x14ac:dyDescent="0.3">
      <c r="B31" s="108" t="s">
        <v>1208</v>
      </c>
      <c r="C31" s="30" t="s">
        <v>226</v>
      </c>
      <c r="D31" s="56" t="s">
        <v>225</v>
      </c>
      <c r="E31" s="32" t="s">
        <v>207</v>
      </c>
      <c r="F31" s="35" t="s">
        <v>208</v>
      </c>
      <c r="G31" s="32" t="s">
        <v>1571</v>
      </c>
      <c r="H31" s="32" t="s">
        <v>1572</v>
      </c>
      <c r="I31" s="43" t="s">
        <v>45</v>
      </c>
      <c r="J31" s="35">
        <v>10</v>
      </c>
      <c r="K31" s="35">
        <v>10</v>
      </c>
      <c r="L31" s="35" t="s">
        <v>1392</v>
      </c>
      <c r="M31" s="76" t="s">
        <v>186</v>
      </c>
      <c r="N31" s="76" t="s">
        <v>187</v>
      </c>
      <c r="O31" s="76" t="s">
        <v>1466</v>
      </c>
      <c r="P31" s="31" t="s">
        <v>67</v>
      </c>
      <c r="Q31" s="31" t="s">
        <v>1889</v>
      </c>
      <c r="R31" s="32" t="s">
        <v>103</v>
      </c>
      <c r="S31" s="36" t="s">
        <v>188</v>
      </c>
      <c r="T31" s="32" t="s">
        <v>221</v>
      </c>
      <c r="U31" s="35" t="s">
        <v>25</v>
      </c>
      <c r="V31" s="34">
        <v>4.4159999999999998E-2</v>
      </c>
      <c r="W31" s="39" t="s">
        <v>229</v>
      </c>
      <c r="X31" s="78" t="s">
        <v>121</v>
      </c>
      <c r="Y31" s="80" t="s">
        <v>203</v>
      </c>
      <c r="Z31" s="44">
        <f t="shared" si="2"/>
        <v>0.18988799999999997</v>
      </c>
      <c r="AA31" s="39" t="s">
        <v>232</v>
      </c>
      <c r="AB31" s="78" t="s">
        <v>235</v>
      </c>
      <c r="AC31" s="80" t="s">
        <v>206</v>
      </c>
      <c r="AD31" s="32" t="s">
        <v>222</v>
      </c>
      <c r="AE31" s="60">
        <v>4.3</v>
      </c>
      <c r="AF31" s="33" t="s">
        <v>34</v>
      </c>
    </row>
    <row r="32" spans="2:32" ht="57.6" x14ac:dyDescent="0.3">
      <c r="B32" s="247" t="s">
        <v>1209</v>
      </c>
      <c r="C32" s="3" t="s">
        <v>1602</v>
      </c>
      <c r="D32" s="7" t="s">
        <v>1601</v>
      </c>
      <c r="E32" s="5" t="s">
        <v>1605</v>
      </c>
      <c r="F32" t="s">
        <v>1606</v>
      </c>
      <c r="G32" s="5" t="s">
        <v>1623</v>
      </c>
      <c r="H32" s="5" t="s">
        <v>1624</v>
      </c>
      <c r="I32" s="21" t="s">
        <v>45</v>
      </c>
      <c r="J32">
        <v>10</v>
      </c>
      <c r="K32">
        <v>10</v>
      </c>
      <c r="L32" t="s">
        <v>1392</v>
      </c>
      <c r="M32" s="8" t="s">
        <v>186</v>
      </c>
      <c r="N32" s="8" t="s">
        <v>187</v>
      </c>
      <c r="O32" s="8" t="s">
        <v>1466</v>
      </c>
      <c r="P32" s="19" t="s">
        <v>1648</v>
      </c>
      <c r="Q32" s="19" t="s">
        <v>1890</v>
      </c>
      <c r="R32" s="5" t="s">
        <v>103</v>
      </c>
      <c r="S32" s="10" t="s">
        <v>188</v>
      </c>
      <c r="T32" s="5" t="s">
        <v>221</v>
      </c>
      <c r="U32" t="s">
        <v>25</v>
      </c>
      <c r="V32" s="4" t="s">
        <v>1622</v>
      </c>
      <c r="W32" s="25" t="s">
        <v>230</v>
      </c>
      <c r="X32" s="75" t="s">
        <v>233</v>
      </c>
      <c r="Y32" s="79" t="s">
        <v>203</v>
      </c>
      <c r="Z32" s="68" t="s">
        <v>204</v>
      </c>
      <c r="AA32" s="25" t="s">
        <v>231</v>
      </c>
      <c r="AB32" s="75" t="s">
        <v>234</v>
      </c>
      <c r="AC32" s="79" t="s">
        <v>206</v>
      </c>
      <c r="AD32" s="5" t="s">
        <v>222</v>
      </c>
      <c r="AE32" s="11">
        <v>4.9800000000000004</v>
      </c>
      <c r="AF32" s="15" t="s">
        <v>34</v>
      </c>
    </row>
    <row r="33" spans="2:32" ht="57.6" x14ac:dyDescent="0.3">
      <c r="B33" s="247" t="s">
        <v>1209</v>
      </c>
      <c r="C33" s="3" t="s">
        <v>1603</v>
      </c>
      <c r="D33" s="7" t="s">
        <v>1601</v>
      </c>
      <c r="E33" s="5" t="s">
        <v>1607</v>
      </c>
      <c r="F33" t="s">
        <v>1608</v>
      </c>
      <c r="G33" s="5" t="s">
        <v>1625</v>
      </c>
      <c r="H33" s="5" t="s">
        <v>1626</v>
      </c>
      <c r="I33" s="21" t="s">
        <v>45</v>
      </c>
      <c r="J33">
        <v>10</v>
      </c>
      <c r="K33">
        <v>10</v>
      </c>
      <c r="L33" t="s">
        <v>1392</v>
      </c>
      <c r="M33" s="8" t="s">
        <v>186</v>
      </c>
      <c r="N33" s="8" t="s">
        <v>187</v>
      </c>
      <c r="O33" s="8" t="s">
        <v>1466</v>
      </c>
      <c r="P33" s="19" t="s">
        <v>1648</v>
      </c>
      <c r="Q33" s="19" t="s">
        <v>1890</v>
      </c>
      <c r="R33" s="5" t="s">
        <v>103</v>
      </c>
      <c r="S33" s="10" t="s">
        <v>188</v>
      </c>
      <c r="T33" s="5" t="s">
        <v>221</v>
      </c>
      <c r="U33" t="s">
        <v>25</v>
      </c>
      <c r="V33" s="4">
        <v>5.7669999999999999E-2</v>
      </c>
      <c r="W33" s="25" t="s">
        <v>229</v>
      </c>
      <c r="X33" s="75" t="s">
        <v>121</v>
      </c>
      <c r="Y33" s="79" t="s">
        <v>203</v>
      </c>
      <c r="Z33" s="22">
        <f t="shared" ref="Z33:Z34" si="7">V33*AE33</f>
        <v>0.28719660000000002</v>
      </c>
      <c r="AA33" s="25" t="s">
        <v>232</v>
      </c>
      <c r="AB33" s="75" t="s">
        <v>235</v>
      </c>
      <c r="AC33" s="79" t="s">
        <v>206</v>
      </c>
      <c r="AD33" s="5" t="s">
        <v>222</v>
      </c>
      <c r="AE33" s="11">
        <v>4.9800000000000004</v>
      </c>
      <c r="AF33" s="15" t="s">
        <v>34</v>
      </c>
    </row>
    <row r="34" spans="2:32" ht="57.6" x14ac:dyDescent="0.3">
      <c r="B34" s="248" t="s">
        <v>1209</v>
      </c>
      <c r="C34" s="30" t="s">
        <v>1604</v>
      </c>
      <c r="D34" s="56" t="s">
        <v>1601</v>
      </c>
      <c r="E34" s="32" t="s">
        <v>1609</v>
      </c>
      <c r="F34" s="35" t="s">
        <v>1610</v>
      </c>
      <c r="G34" s="32" t="s">
        <v>1627</v>
      </c>
      <c r="H34" s="32" t="s">
        <v>1628</v>
      </c>
      <c r="I34" s="43" t="s">
        <v>45</v>
      </c>
      <c r="J34" s="35">
        <v>10</v>
      </c>
      <c r="K34" s="35">
        <v>10</v>
      </c>
      <c r="L34" s="35" t="s">
        <v>1392</v>
      </c>
      <c r="M34" s="76" t="s">
        <v>186</v>
      </c>
      <c r="N34" s="76" t="s">
        <v>187</v>
      </c>
      <c r="O34" s="76" t="s">
        <v>1466</v>
      </c>
      <c r="P34" s="31" t="s">
        <v>1648</v>
      </c>
      <c r="Q34" s="31" t="s">
        <v>1890</v>
      </c>
      <c r="R34" s="32" t="s">
        <v>103</v>
      </c>
      <c r="S34" s="36" t="s">
        <v>188</v>
      </c>
      <c r="T34" s="32" t="s">
        <v>221</v>
      </c>
      <c r="U34" s="35" t="s">
        <v>25</v>
      </c>
      <c r="V34" s="34">
        <v>5.7669999999999999E-2</v>
      </c>
      <c r="W34" s="39" t="s">
        <v>229</v>
      </c>
      <c r="X34" s="78" t="s">
        <v>121</v>
      </c>
      <c r="Y34" s="80" t="s">
        <v>203</v>
      </c>
      <c r="Z34" s="44">
        <f t="shared" si="7"/>
        <v>0.28719660000000002</v>
      </c>
      <c r="AA34" s="39" t="s">
        <v>232</v>
      </c>
      <c r="AB34" s="78" t="s">
        <v>235</v>
      </c>
      <c r="AC34" s="80" t="s">
        <v>206</v>
      </c>
      <c r="AD34" s="32" t="s">
        <v>222</v>
      </c>
      <c r="AE34" s="60">
        <v>4.9800000000000004</v>
      </c>
      <c r="AF34" s="33" t="s">
        <v>34</v>
      </c>
    </row>
    <row r="35" spans="2:32" ht="57.6" x14ac:dyDescent="0.3">
      <c r="B35" s="107" t="s">
        <v>1276</v>
      </c>
      <c r="C35" s="3" t="s">
        <v>227</v>
      </c>
      <c r="D35" s="7" t="s">
        <v>225</v>
      </c>
      <c r="E35" s="5" t="s">
        <v>219</v>
      </c>
      <c r="F35" t="s">
        <v>220</v>
      </c>
      <c r="G35" s="5" t="s">
        <v>1573</v>
      </c>
      <c r="H35" s="5" t="s">
        <v>1574</v>
      </c>
      <c r="I35" s="21" t="s">
        <v>45</v>
      </c>
      <c r="J35">
        <v>10</v>
      </c>
      <c r="K35">
        <v>10</v>
      </c>
      <c r="L35" t="s">
        <v>1392</v>
      </c>
      <c r="M35" s="8" t="s">
        <v>186</v>
      </c>
      <c r="N35" s="8" t="s">
        <v>187</v>
      </c>
      <c r="O35" s="8" t="s">
        <v>1466</v>
      </c>
      <c r="P35" s="19" t="s">
        <v>68</v>
      </c>
      <c r="Q35" s="19" t="s">
        <v>1891</v>
      </c>
      <c r="R35" s="5" t="s">
        <v>103</v>
      </c>
      <c r="S35" s="10" t="s">
        <v>188</v>
      </c>
      <c r="T35" s="5" t="s">
        <v>221</v>
      </c>
      <c r="U35" t="s">
        <v>25</v>
      </c>
      <c r="V35" s="4" t="s">
        <v>228</v>
      </c>
      <c r="W35" s="25" t="s">
        <v>230</v>
      </c>
      <c r="X35" s="75" t="s">
        <v>233</v>
      </c>
      <c r="Y35" s="79" t="s">
        <v>203</v>
      </c>
      <c r="Z35" s="68" t="s">
        <v>204</v>
      </c>
      <c r="AA35" s="25" t="s">
        <v>231</v>
      </c>
      <c r="AB35" s="75" t="s">
        <v>234</v>
      </c>
      <c r="AC35" s="79" t="s">
        <v>206</v>
      </c>
      <c r="AD35" s="5" t="s">
        <v>222</v>
      </c>
      <c r="AE35" s="11">
        <v>4.3</v>
      </c>
      <c r="AF35" s="15" t="s">
        <v>34</v>
      </c>
    </row>
    <row r="36" spans="2:32" ht="57.6" x14ac:dyDescent="0.3">
      <c r="B36" s="107" t="s">
        <v>1276</v>
      </c>
      <c r="C36" s="3" t="s">
        <v>988</v>
      </c>
      <c r="D36" s="7" t="s">
        <v>225</v>
      </c>
      <c r="E36" s="5" t="s">
        <v>223</v>
      </c>
      <c r="F36" t="s">
        <v>224</v>
      </c>
      <c r="G36" s="5" t="s">
        <v>1575</v>
      </c>
      <c r="H36" s="5" t="s">
        <v>1576</v>
      </c>
      <c r="I36" s="21" t="s">
        <v>45</v>
      </c>
      <c r="J36">
        <v>10</v>
      </c>
      <c r="K36">
        <v>10</v>
      </c>
      <c r="L36" t="s">
        <v>1392</v>
      </c>
      <c r="M36" s="8" t="s">
        <v>186</v>
      </c>
      <c r="N36" s="8" t="s">
        <v>187</v>
      </c>
      <c r="O36" s="8" t="s">
        <v>1466</v>
      </c>
      <c r="P36" s="19" t="s">
        <v>68</v>
      </c>
      <c r="Q36" s="19" t="s">
        <v>1891</v>
      </c>
      <c r="R36" s="5" t="s">
        <v>103</v>
      </c>
      <c r="S36" s="10" t="s">
        <v>188</v>
      </c>
      <c r="T36" s="5" t="s">
        <v>221</v>
      </c>
      <c r="U36" t="s">
        <v>25</v>
      </c>
      <c r="V36" s="4">
        <v>4.4159999999999998E-2</v>
      </c>
      <c r="W36" s="25" t="s">
        <v>229</v>
      </c>
      <c r="X36" s="75" t="s">
        <v>121</v>
      </c>
      <c r="Y36" s="79" t="s">
        <v>203</v>
      </c>
      <c r="Z36" s="22">
        <f t="shared" si="2"/>
        <v>0.18988799999999997</v>
      </c>
      <c r="AA36" s="25" t="s">
        <v>232</v>
      </c>
      <c r="AB36" s="75" t="s">
        <v>235</v>
      </c>
      <c r="AC36" s="79" t="s">
        <v>206</v>
      </c>
      <c r="AD36" s="5" t="s">
        <v>222</v>
      </c>
      <c r="AE36" s="11">
        <v>4.3</v>
      </c>
      <c r="AF36" s="15" t="s">
        <v>34</v>
      </c>
    </row>
    <row r="37" spans="2:32" ht="57.6" x14ac:dyDescent="0.3">
      <c r="B37" s="108" t="s">
        <v>1276</v>
      </c>
      <c r="C37" s="30" t="s">
        <v>989</v>
      </c>
      <c r="D37" s="56" t="s">
        <v>225</v>
      </c>
      <c r="E37" s="32" t="s">
        <v>207</v>
      </c>
      <c r="F37" s="35" t="s">
        <v>208</v>
      </c>
      <c r="G37" s="32" t="s">
        <v>1571</v>
      </c>
      <c r="H37" s="32" t="s">
        <v>1572</v>
      </c>
      <c r="I37" s="43" t="s">
        <v>45</v>
      </c>
      <c r="J37" s="35">
        <v>10</v>
      </c>
      <c r="K37" s="35">
        <v>10</v>
      </c>
      <c r="L37" s="35" t="s">
        <v>1392</v>
      </c>
      <c r="M37" s="76" t="s">
        <v>186</v>
      </c>
      <c r="N37" s="76" t="s">
        <v>187</v>
      </c>
      <c r="O37" s="76" t="s">
        <v>1466</v>
      </c>
      <c r="P37" s="31" t="s">
        <v>68</v>
      </c>
      <c r="Q37" s="31" t="s">
        <v>1891</v>
      </c>
      <c r="R37" s="32" t="s">
        <v>103</v>
      </c>
      <c r="S37" s="36" t="s">
        <v>188</v>
      </c>
      <c r="T37" s="32" t="s">
        <v>221</v>
      </c>
      <c r="U37" s="35" t="s">
        <v>25</v>
      </c>
      <c r="V37" s="34">
        <v>4.4159999999999998E-2</v>
      </c>
      <c r="W37" s="39" t="s">
        <v>229</v>
      </c>
      <c r="X37" s="78" t="s">
        <v>121</v>
      </c>
      <c r="Y37" s="80" t="s">
        <v>203</v>
      </c>
      <c r="Z37" s="44">
        <f t="shared" si="2"/>
        <v>0.18988799999999997</v>
      </c>
      <c r="AA37" s="39" t="s">
        <v>232</v>
      </c>
      <c r="AB37" s="78" t="s">
        <v>235</v>
      </c>
      <c r="AC37" s="80" t="s">
        <v>206</v>
      </c>
      <c r="AD37" s="32" t="s">
        <v>222</v>
      </c>
      <c r="AE37" s="60">
        <v>4.3</v>
      </c>
      <c r="AF37" s="33" t="s">
        <v>34</v>
      </c>
    </row>
    <row r="38" spans="2:32" ht="57.6" x14ac:dyDescent="0.3">
      <c r="B38" s="247" t="s">
        <v>1630</v>
      </c>
      <c r="C38" s="3" t="s">
        <v>1602</v>
      </c>
      <c r="D38" s="7" t="s">
        <v>1601</v>
      </c>
      <c r="E38" s="5" t="s">
        <v>1605</v>
      </c>
      <c r="F38" t="s">
        <v>1606</v>
      </c>
      <c r="G38" s="5" t="s">
        <v>1623</v>
      </c>
      <c r="H38" s="5" t="s">
        <v>1624</v>
      </c>
      <c r="I38" s="21" t="s">
        <v>45</v>
      </c>
      <c r="J38">
        <v>10</v>
      </c>
      <c r="K38">
        <v>10</v>
      </c>
      <c r="L38" t="s">
        <v>1392</v>
      </c>
      <c r="M38" s="8" t="s">
        <v>186</v>
      </c>
      <c r="N38" s="8" t="s">
        <v>187</v>
      </c>
      <c r="O38" s="8" t="s">
        <v>1466</v>
      </c>
      <c r="P38" s="19" t="s">
        <v>1649</v>
      </c>
      <c r="Q38" s="19" t="s">
        <v>1892</v>
      </c>
      <c r="R38" s="5" t="s">
        <v>103</v>
      </c>
      <c r="S38" s="10" t="s">
        <v>188</v>
      </c>
      <c r="T38" s="5" t="s">
        <v>221</v>
      </c>
      <c r="U38" t="s">
        <v>25</v>
      </c>
      <c r="V38" s="4" t="s">
        <v>1622</v>
      </c>
      <c r="W38" s="25" t="s">
        <v>230</v>
      </c>
      <c r="X38" s="75" t="s">
        <v>233</v>
      </c>
      <c r="Y38" s="79" t="s">
        <v>203</v>
      </c>
      <c r="Z38" s="68" t="s">
        <v>204</v>
      </c>
      <c r="AA38" s="25" t="s">
        <v>231</v>
      </c>
      <c r="AB38" s="75" t="s">
        <v>234</v>
      </c>
      <c r="AC38" s="79" t="s">
        <v>206</v>
      </c>
      <c r="AD38" s="5" t="s">
        <v>222</v>
      </c>
      <c r="AE38" s="11">
        <v>4.9800000000000004</v>
      </c>
      <c r="AF38" s="15" t="s">
        <v>34</v>
      </c>
    </row>
    <row r="39" spans="2:32" ht="57.6" x14ac:dyDescent="0.3">
      <c r="B39" s="247" t="s">
        <v>1630</v>
      </c>
      <c r="C39" s="3" t="s">
        <v>1603</v>
      </c>
      <c r="D39" s="7" t="s">
        <v>1601</v>
      </c>
      <c r="E39" s="5" t="s">
        <v>1607</v>
      </c>
      <c r="F39" t="s">
        <v>1608</v>
      </c>
      <c r="G39" s="5" t="s">
        <v>1625</v>
      </c>
      <c r="H39" s="5" t="s">
        <v>1626</v>
      </c>
      <c r="I39" s="21" t="s">
        <v>45</v>
      </c>
      <c r="J39">
        <v>10</v>
      </c>
      <c r="K39">
        <v>10</v>
      </c>
      <c r="L39" t="s">
        <v>1392</v>
      </c>
      <c r="M39" s="8" t="s">
        <v>186</v>
      </c>
      <c r="N39" s="8" t="s">
        <v>187</v>
      </c>
      <c r="O39" s="8" t="s">
        <v>1466</v>
      </c>
      <c r="P39" s="19" t="s">
        <v>1649</v>
      </c>
      <c r="Q39" s="19" t="s">
        <v>1892</v>
      </c>
      <c r="R39" s="5" t="s">
        <v>103</v>
      </c>
      <c r="S39" s="10" t="s">
        <v>188</v>
      </c>
      <c r="T39" s="5" t="s">
        <v>221</v>
      </c>
      <c r="U39" t="s">
        <v>25</v>
      </c>
      <c r="V39" s="4">
        <v>5.7669999999999999E-2</v>
      </c>
      <c r="W39" s="25" t="s">
        <v>229</v>
      </c>
      <c r="X39" s="75" t="s">
        <v>121</v>
      </c>
      <c r="Y39" s="79" t="s">
        <v>203</v>
      </c>
      <c r="Z39" s="22">
        <f t="shared" ref="Z39:Z40" si="8">V39*AE39</f>
        <v>0.28719660000000002</v>
      </c>
      <c r="AA39" s="25" t="s">
        <v>232</v>
      </c>
      <c r="AB39" s="75" t="s">
        <v>235</v>
      </c>
      <c r="AC39" s="79" t="s">
        <v>206</v>
      </c>
      <c r="AD39" s="5" t="s">
        <v>222</v>
      </c>
      <c r="AE39" s="11">
        <v>4.9800000000000004</v>
      </c>
      <c r="AF39" s="15" t="s">
        <v>34</v>
      </c>
    </row>
    <row r="40" spans="2:32" ht="57.6" x14ac:dyDescent="0.3">
      <c r="B40" s="248" t="s">
        <v>1630</v>
      </c>
      <c r="C40" s="30" t="s">
        <v>1604</v>
      </c>
      <c r="D40" s="56" t="s">
        <v>1601</v>
      </c>
      <c r="E40" s="32" t="s">
        <v>1609</v>
      </c>
      <c r="F40" s="35" t="s">
        <v>1610</v>
      </c>
      <c r="G40" s="32" t="s">
        <v>1627</v>
      </c>
      <c r="H40" s="32" t="s">
        <v>1628</v>
      </c>
      <c r="I40" s="43" t="s">
        <v>45</v>
      </c>
      <c r="J40" s="35">
        <v>10</v>
      </c>
      <c r="K40" s="35">
        <v>10</v>
      </c>
      <c r="L40" s="35" t="s">
        <v>1392</v>
      </c>
      <c r="M40" s="76" t="s">
        <v>186</v>
      </c>
      <c r="N40" s="76" t="s">
        <v>187</v>
      </c>
      <c r="O40" s="76" t="s">
        <v>1466</v>
      </c>
      <c r="P40" s="19" t="s">
        <v>1649</v>
      </c>
      <c r="Q40" s="19" t="s">
        <v>1892</v>
      </c>
      <c r="R40" s="32" t="s">
        <v>103</v>
      </c>
      <c r="S40" s="36" t="s">
        <v>188</v>
      </c>
      <c r="T40" s="32" t="s">
        <v>221</v>
      </c>
      <c r="U40" s="35" t="s">
        <v>25</v>
      </c>
      <c r="V40" s="34">
        <v>5.7669999999999999E-2</v>
      </c>
      <c r="W40" s="39" t="s">
        <v>229</v>
      </c>
      <c r="X40" s="78" t="s">
        <v>121</v>
      </c>
      <c r="Y40" s="80" t="s">
        <v>203</v>
      </c>
      <c r="Z40" s="44">
        <f t="shared" si="8"/>
        <v>0.28719660000000002</v>
      </c>
      <c r="AA40" s="39" t="s">
        <v>232</v>
      </c>
      <c r="AB40" s="78" t="s">
        <v>235</v>
      </c>
      <c r="AC40" s="80" t="s">
        <v>206</v>
      </c>
      <c r="AD40" s="32" t="s">
        <v>222</v>
      </c>
      <c r="AE40" s="60">
        <v>4.9800000000000004</v>
      </c>
      <c r="AF40" s="33" t="s">
        <v>34</v>
      </c>
    </row>
    <row r="41" spans="2:32" ht="86.4" customHeight="1" x14ac:dyDescent="0.3">
      <c r="B41" s="109" t="s">
        <v>244</v>
      </c>
      <c r="C41" s="97" t="s">
        <v>248</v>
      </c>
      <c r="D41" s="86" t="s">
        <v>985</v>
      </c>
      <c r="E41" s="84" t="s">
        <v>1144</v>
      </c>
      <c r="F41" s="85" t="s">
        <v>1145</v>
      </c>
      <c r="G41" s="32" t="s">
        <v>1588</v>
      </c>
      <c r="H41" s="32" t="s">
        <v>1589</v>
      </c>
      <c r="I41" s="86" t="s">
        <v>45</v>
      </c>
      <c r="J41" s="90" t="s">
        <v>236</v>
      </c>
      <c r="K41" s="90" t="s">
        <v>236</v>
      </c>
      <c r="L41" s="82" t="s">
        <v>1445</v>
      </c>
      <c r="M41" s="87" t="s">
        <v>237</v>
      </c>
      <c r="N41" s="87" t="s">
        <v>238</v>
      </c>
      <c r="O41" s="87" t="s">
        <v>1455</v>
      </c>
      <c r="P41" s="99" t="s">
        <v>250</v>
      </c>
      <c r="Q41" s="86">
        <v>2330</v>
      </c>
      <c r="R41" s="84" t="s">
        <v>1456</v>
      </c>
      <c r="S41" s="89" t="s">
        <v>188</v>
      </c>
      <c r="T41" s="84" t="s">
        <v>239</v>
      </c>
      <c r="U41" s="84" t="s">
        <v>1457</v>
      </c>
      <c r="V41" s="94">
        <f>Z41/AE41</f>
        <v>0.29215384615384615</v>
      </c>
      <c r="W41" s="100" t="s">
        <v>258</v>
      </c>
      <c r="X41" s="101" t="s">
        <v>257</v>
      </c>
      <c r="Y41" s="103" t="s">
        <v>260</v>
      </c>
      <c r="Z41" s="44">
        <v>0.18990000000000001</v>
      </c>
      <c r="AA41" s="100" t="s">
        <v>252</v>
      </c>
      <c r="AB41" s="101" t="s">
        <v>254</v>
      </c>
      <c r="AC41" s="103" t="s">
        <v>255</v>
      </c>
      <c r="AD41" s="84" t="s">
        <v>1458</v>
      </c>
      <c r="AE41" s="98">
        <v>0.65</v>
      </c>
      <c r="AF41" s="96" t="s">
        <v>34</v>
      </c>
    </row>
    <row r="42" spans="2:32" ht="57.6" x14ac:dyDescent="0.3">
      <c r="B42" s="110" t="s">
        <v>245</v>
      </c>
      <c r="C42" s="97" t="s">
        <v>249</v>
      </c>
      <c r="D42" s="86" t="s">
        <v>247</v>
      </c>
      <c r="E42" s="84" t="s">
        <v>1148</v>
      </c>
      <c r="F42" s="85" t="s">
        <v>1149</v>
      </c>
      <c r="G42" s="32" t="s">
        <v>1590</v>
      </c>
      <c r="H42" s="32" t="s">
        <v>1591</v>
      </c>
      <c r="I42" s="86" t="s">
        <v>45</v>
      </c>
      <c r="J42" s="90" t="s">
        <v>240</v>
      </c>
      <c r="K42" s="90" t="s">
        <v>240</v>
      </c>
      <c r="L42" s="82" t="s">
        <v>1445</v>
      </c>
      <c r="M42" s="87" t="s">
        <v>241</v>
      </c>
      <c r="N42" s="87" t="s">
        <v>242</v>
      </c>
      <c r="O42" s="87" t="s">
        <v>1459</v>
      </c>
      <c r="P42" s="99" t="s">
        <v>251</v>
      </c>
      <c r="Q42" s="86">
        <v>3250</v>
      </c>
      <c r="R42" s="84" t="s">
        <v>1456</v>
      </c>
      <c r="S42" s="89" t="s">
        <v>188</v>
      </c>
      <c r="T42" s="84" t="s">
        <v>243</v>
      </c>
      <c r="U42" s="85" t="s">
        <v>1460</v>
      </c>
      <c r="V42" s="94">
        <f>Z42/AE42</f>
        <v>0.31131147540983611</v>
      </c>
      <c r="W42" s="104" t="s">
        <v>259</v>
      </c>
      <c r="X42" s="101" t="s">
        <v>257</v>
      </c>
      <c r="Y42" s="102" t="s">
        <v>261</v>
      </c>
      <c r="Z42" s="44">
        <v>0.18990000000000001</v>
      </c>
      <c r="AA42" s="101" t="s">
        <v>253</v>
      </c>
      <c r="AB42" s="101" t="s">
        <v>254</v>
      </c>
      <c r="AC42" s="102" t="s">
        <v>256</v>
      </c>
      <c r="AD42" s="84" t="s">
        <v>1458</v>
      </c>
      <c r="AE42" s="98">
        <v>0.61</v>
      </c>
      <c r="AF42" s="96" t="s">
        <v>34</v>
      </c>
    </row>
    <row r="43" spans="2:32" ht="57.6" customHeight="1" x14ac:dyDescent="0.3">
      <c r="B43" s="111" t="s">
        <v>289</v>
      </c>
      <c r="C43" s="3" t="s">
        <v>275</v>
      </c>
      <c r="D43" s="7" t="s">
        <v>277</v>
      </c>
      <c r="E43" s="5" t="s">
        <v>262</v>
      </c>
      <c r="F43" t="s">
        <v>263</v>
      </c>
      <c r="G43" s="5" t="s">
        <v>1577</v>
      </c>
      <c r="H43" s="5" t="s">
        <v>1578</v>
      </c>
      <c r="I43" s="21" t="s">
        <v>45</v>
      </c>
      <c r="J43" s="105" t="s">
        <v>264</v>
      </c>
      <c r="K43" s="105" t="s">
        <v>264</v>
      </c>
      <c r="L43" s="5" t="s">
        <v>265</v>
      </c>
      <c r="M43" s="3" t="s">
        <v>266</v>
      </c>
      <c r="N43" s="3" t="s">
        <v>267</v>
      </c>
      <c r="O43" s="3" t="s">
        <v>268</v>
      </c>
      <c r="P43" s="19" t="s">
        <v>73</v>
      </c>
      <c r="Q43" s="19" t="s">
        <v>1893</v>
      </c>
      <c r="R43" s="5" t="s">
        <v>103</v>
      </c>
      <c r="S43" s="10" t="s">
        <v>278</v>
      </c>
      <c r="T43">
        <v>20</v>
      </c>
      <c r="U43" t="s">
        <v>25</v>
      </c>
      <c r="V43">
        <v>3.56E-2</v>
      </c>
      <c r="W43" s="25" t="s">
        <v>279</v>
      </c>
      <c r="X43" s="67" t="s">
        <v>281</v>
      </c>
      <c r="Y43" s="49" t="s">
        <v>283</v>
      </c>
      <c r="Z43" s="22">
        <f t="shared" ref="Z43" si="9">V43*AE43</f>
        <v>3.3819999999999996E-2</v>
      </c>
      <c r="AA43" s="25" t="s">
        <v>294</v>
      </c>
      <c r="AB43" s="25" t="s">
        <v>282</v>
      </c>
      <c r="AC43" s="49" t="s">
        <v>284</v>
      </c>
      <c r="AD43" s="5" t="s">
        <v>270</v>
      </c>
      <c r="AE43" s="14">
        <v>0.95</v>
      </c>
      <c r="AF43" s="5" t="s">
        <v>34</v>
      </c>
    </row>
    <row r="44" spans="2:32" ht="57.6" customHeight="1" x14ac:dyDescent="0.3">
      <c r="B44" s="112" t="s">
        <v>289</v>
      </c>
      <c r="C44" s="30" t="s">
        <v>276</v>
      </c>
      <c r="D44" s="56" t="s">
        <v>277</v>
      </c>
      <c r="E44" s="32" t="s">
        <v>271</v>
      </c>
      <c r="F44" s="35" t="s">
        <v>272</v>
      </c>
      <c r="G44" s="32" t="s">
        <v>1579</v>
      </c>
      <c r="H44" s="32" t="s">
        <v>1580</v>
      </c>
      <c r="I44" s="43" t="s">
        <v>45</v>
      </c>
      <c r="J44" s="106" t="s">
        <v>264</v>
      </c>
      <c r="K44" s="106" t="s">
        <v>264</v>
      </c>
      <c r="L44" s="32" t="s">
        <v>265</v>
      </c>
      <c r="M44" s="30" t="s">
        <v>273</v>
      </c>
      <c r="N44" s="30" t="s">
        <v>267</v>
      </c>
      <c r="O44" s="30" t="s">
        <v>268</v>
      </c>
      <c r="P44" s="31" t="s">
        <v>73</v>
      </c>
      <c r="Q44" s="31" t="s">
        <v>1893</v>
      </c>
      <c r="R44" s="32" t="s">
        <v>103</v>
      </c>
      <c r="S44" s="36" t="s">
        <v>278</v>
      </c>
      <c r="T44" s="35">
        <v>20</v>
      </c>
      <c r="U44" s="35" t="s">
        <v>25</v>
      </c>
      <c r="V44" s="35">
        <v>3.56E-2</v>
      </c>
      <c r="W44" s="39" t="s">
        <v>280</v>
      </c>
      <c r="X44" s="70" t="s">
        <v>281</v>
      </c>
      <c r="Y44" s="52" t="s">
        <v>283</v>
      </c>
      <c r="Z44" s="44">
        <f>V44*AE44</f>
        <v>3.3819999999999996E-2</v>
      </c>
      <c r="AA44" s="39" t="s">
        <v>295</v>
      </c>
      <c r="AB44" s="39" t="s">
        <v>282</v>
      </c>
      <c r="AC44" s="52" t="s">
        <v>284</v>
      </c>
      <c r="AD44" s="32" t="s">
        <v>274</v>
      </c>
      <c r="AE44" s="42">
        <v>0.95</v>
      </c>
      <c r="AF44" s="32" t="s">
        <v>34</v>
      </c>
    </row>
    <row r="45" spans="2:32" ht="72" x14ac:dyDescent="0.3">
      <c r="B45" s="113" t="s">
        <v>290</v>
      </c>
      <c r="C45" s="82" t="s">
        <v>1581</v>
      </c>
      <c r="D45" s="83" t="s">
        <v>277</v>
      </c>
      <c r="E45" s="84" t="s">
        <v>285</v>
      </c>
      <c r="F45" s="85" t="s">
        <v>286</v>
      </c>
      <c r="G45" s="32" t="s">
        <v>1582</v>
      </c>
      <c r="H45" s="32" t="s">
        <v>1583</v>
      </c>
      <c r="I45" s="86" t="s">
        <v>45</v>
      </c>
      <c r="J45" s="114" t="s">
        <v>264</v>
      </c>
      <c r="K45" s="114" t="s">
        <v>264</v>
      </c>
      <c r="L45" s="84" t="s">
        <v>265</v>
      </c>
      <c r="M45" s="82" t="s">
        <v>273</v>
      </c>
      <c r="N45" s="82" t="s">
        <v>267</v>
      </c>
      <c r="O45" s="82" t="s">
        <v>268</v>
      </c>
      <c r="P45" s="115" t="s">
        <v>74</v>
      </c>
      <c r="Q45" s="83" t="s">
        <v>1894</v>
      </c>
      <c r="R45" s="32" t="s">
        <v>103</v>
      </c>
      <c r="S45" s="89" t="s">
        <v>287</v>
      </c>
      <c r="T45" s="85">
        <v>20</v>
      </c>
      <c r="U45" s="85" t="s">
        <v>25</v>
      </c>
      <c r="V45" s="85">
        <v>5.9400000000000001E-2</v>
      </c>
      <c r="W45" s="91" t="s">
        <v>291</v>
      </c>
      <c r="X45" s="116" t="s">
        <v>292</v>
      </c>
      <c r="Y45" s="102" t="s">
        <v>293</v>
      </c>
      <c r="Z45" s="94">
        <f t="shared" ref="Z45:Z49" si="10">V45*AE45</f>
        <v>5.6430000000000001E-2</v>
      </c>
      <c r="AA45" s="91" t="s">
        <v>296</v>
      </c>
      <c r="AB45" s="116" t="s">
        <v>297</v>
      </c>
      <c r="AC45" s="102" t="s">
        <v>298</v>
      </c>
      <c r="AD45" s="84" t="s">
        <v>288</v>
      </c>
      <c r="AE45" s="98">
        <v>0.95</v>
      </c>
      <c r="AF45" s="84" t="s">
        <v>34</v>
      </c>
    </row>
    <row r="46" spans="2:32" ht="86.4" x14ac:dyDescent="0.3">
      <c r="B46" s="129" t="s">
        <v>299</v>
      </c>
      <c r="C46" s="3" t="s">
        <v>246</v>
      </c>
      <c r="D46" s="7" t="s">
        <v>313</v>
      </c>
      <c r="E46" s="5" t="s">
        <v>300</v>
      </c>
      <c r="F46" s="5" t="s">
        <v>301</v>
      </c>
      <c r="G46" s="5" t="s">
        <v>1553</v>
      </c>
      <c r="H46" s="5" t="s">
        <v>1554</v>
      </c>
      <c r="I46" s="21" t="s">
        <v>45</v>
      </c>
      <c r="J46" s="4" t="s">
        <v>302</v>
      </c>
      <c r="K46" s="4" t="s">
        <v>302</v>
      </c>
      <c r="L46" s="5" t="s">
        <v>303</v>
      </c>
      <c r="M46" s="5" t="s">
        <v>304</v>
      </c>
      <c r="N46" s="3" t="s">
        <v>305</v>
      </c>
      <c r="O46" s="8" t="s">
        <v>1425</v>
      </c>
      <c r="P46" s="119" t="s">
        <v>76</v>
      </c>
      <c r="Q46" s="7" t="s">
        <v>1895</v>
      </c>
      <c r="R46" s="5" t="s">
        <v>103</v>
      </c>
      <c r="S46" s="10" t="s">
        <v>307</v>
      </c>
      <c r="T46">
        <v>20</v>
      </c>
      <c r="U46" t="s">
        <v>308</v>
      </c>
      <c r="V46">
        <v>0</v>
      </c>
      <c r="W46" s="74" t="s">
        <v>314</v>
      </c>
      <c r="X46" s="25" t="s">
        <v>211</v>
      </c>
      <c r="Y46" s="69" t="s">
        <v>316</v>
      </c>
      <c r="Z46" s="117">
        <f t="shared" si="10"/>
        <v>0</v>
      </c>
      <c r="AA46" s="74" t="s">
        <v>317</v>
      </c>
      <c r="AB46" s="25" t="s">
        <v>216</v>
      </c>
      <c r="AC46" s="120" t="s">
        <v>319</v>
      </c>
      <c r="AD46" s="5" t="s">
        <v>309</v>
      </c>
      <c r="AE46" s="118">
        <v>0.16500000000000001</v>
      </c>
      <c r="AF46" s="5" t="s">
        <v>34</v>
      </c>
    </row>
    <row r="47" spans="2:32" ht="86.4" x14ac:dyDescent="0.3">
      <c r="B47" s="130" t="s">
        <v>299</v>
      </c>
      <c r="C47" s="30" t="s">
        <v>312</v>
      </c>
      <c r="D47" s="56" t="s">
        <v>313</v>
      </c>
      <c r="E47" s="32" t="s">
        <v>310</v>
      </c>
      <c r="F47" s="32" t="s">
        <v>311</v>
      </c>
      <c r="G47" s="32" t="s">
        <v>1555</v>
      </c>
      <c r="H47" s="32" t="s">
        <v>1556</v>
      </c>
      <c r="I47" s="43" t="s">
        <v>45</v>
      </c>
      <c r="J47" s="34" t="s">
        <v>302</v>
      </c>
      <c r="K47" s="34" t="s">
        <v>302</v>
      </c>
      <c r="L47" s="32" t="s">
        <v>303</v>
      </c>
      <c r="M47" s="32" t="s">
        <v>304</v>
      </c>
      <c r="N47" s="30" t="s">
        <v>305</v>
      </c>
      <c r="O47" s="76" t="s">
        <v>1425</v>
      </c>
      <c r="P47" s="121" t="s">
        <v>76</v>
      </c>
      <c r="Q47" s="56" t="s">
        <v>1895</v>
      </c>
      <c r="R47" s="32" t="s">
        <v>103</v>
      </c>
      <c r="S47" s="36" t="s">
        <v>307</v>
      </c>
      <c r="T47" s="35">
        <v>20</v>
      </c>
      <c r="U47" s="35" t="s">
        <v>308</v>
      </c>
      <c r="V47" s="71">
        <v>0</v>
      </c>
      <c r="W47" s="77" t="s">
        <v>314</v>
      </c>
      <c r="X47" s="39" t="s">
        <v>315</v>
      </c>
      <c r="Y47" s="133" t="s">
        <v>316</v>
      </c>
      <c r="Z47" s="123">
        <f t="shared" si="10"/>
        <v>0</v>
      </c>
      <c r="AA47" s="77" t="s">
        <v>317</v>
      </c>
      <c r="AB47" s="39" t="s">
        <v>318</v>
      </c>
      <c r="AC47" s="122" t="s">
        <v>319</v>
      </c>
      <c r="AD47" s="32" t="s">
        <v>309</v>
      </c>
      <c r="AE47" s="124">
        <v>0.16500000000000001</v>
      </c>
      <c r="AF47" s="32" t="s">
        <v>34</v>
      </c>
    </row>
    <row r="48" spans="2:32" ht="57.6" x14ac:dyDescent="0.3">
      <c r="B48" s="131" t="s">
        <v>320</v>
      </c>
      <c r="C48" t="s">
        <v>1651</v>
      </c>
      <c r="D48" s="7" t="s">
        <v>335</v>
      </c>
      <c r="E48" s="5" t="s">
        <v>322</v>
      </c>
      <c r="F48" t="s">
        <v>323</v>
      </c>
      <c r="G48" s="5" t="s">
        <v>1586</v>
      </c>
      <c r="H48" s="5" t="s">
        <v>1587</v>
      </c>
      <c r="I48" s="21" t="s">
        <v>45</v>
      </c>
      <c r="J48" s="4">
        <v>3.33</v>
      </c>
      <c r="K48" s="4">
        <v>3.33</v>
      </c>
      <c r="L48" s="5" t="s">
        <v>324</v>
      </c>
      <c r="M48" s="8" t="s">
        <v>325</v>
      </c>
      <c r="N48" s="8" t="s">
        <v>326</v>
      </c>
      <c r="O48" s="8" t="s">
        <v>1441</v>
      </c>
      <c r="P48" s="21">
        <v>1500</v>
      </c>
      <c r="Q48" s="21">
        <f t="shared" ref="Q48:Q50" si="11">P48*AE48</f>
        <v>1170</v>
      </c>
      <c r="R48" s="5" t="s">
        <v>327</v>
      </c>
      <c r="S48" s="10" t="s">
        <v>328</v>
      </c>
      <c r="T48">
        <v>20</v>
      </c>
      <c r="U48" t="s">
        <v>329</v>
      </c>
      <c r="V48" s="125">
        <v>0</v>
      </c>
      <c r="W48" s="74" t="s">
        <v>337</v>
      </c>
      <c r="X48" s="25" t="s">
        <v>257</v>
      </c>
      <c r="Y48" s="69" t="s">
        <v>338</v>
      </c>
      <c r="Z48" s="117">
        <f t="shared" si="10"/>
        <v>0</v>
      </c>
      <c r="AA48" s="74" t="s">
        <v>339</v>
      </c>
      <c r="AB48" s="25" t="s">
        <v>254</v>
      </c>
      <c r="AC48" s="120" t="s">
        <v>340</v>
      </c>
      <c r="AD48" s="5" t="s">
        <v>330</v>
      </c>
      <c r="AE48" s="24">
        <v>0.78</v>
      </c>
      <c r="AF48" s="5" t="s">
        <v>34</v>
      </c>
    </row>
    <row r="49" spans="2:32" ht="57.6" x14ac:dyDescent="0.3">
      <c r="B49" s="132" t="s">
        <v>331</v>
      </c>
      <c r="C49" s="30" t="s">
        <v>1652</v>
      </c>
      <c r="D49" s="56" t="s">
        <v>336</v>
      </c>
      <c r="E49" s="32" t="s">
        <v>332</v>
      </c>
      <c r="F49" s="35" t="s">
        <v>333</v>
      </c>
      <c r="G49" s="32" t="s">
        <v>1584</v>
      </c>
      <c r="H49" s="32" t="s">
        <v>1585</v>
      </c>
      <c r="I49" s="43" t="s">
        <v>45</v>
      </c>
      <c r="J49" s="34">
        <v>3.33</v>
      </c>
      <c r="K49" s="34">
        <v>3.33</v>
      </c>
      <c r="L49" s="32" t="s">
        <v>324</v>
      </c>
      <c r="M49" s="76" t="s">
        <v>325</v>
      </c>
      <c r="N49" s="76" t="s">
        <v>326</v>
      </c>
      <c r="O49" s="76" t="s">
        <v>1441</v>
      </c>
      <c r="P49" s="43" t="s">
        <v>79</v>
      </c>
      <c r="Q49" s="43" t="s">
        <v>1896</v>
      </c>
      <c r="R49" s="32" t="s">
        <v>103</v>
      </c>
      <c r="S49" s="36" t="s">
        <v>328</v>
      </c>
      <c r="T49" s="35">
        <v>20</v>
      </c>
      <c r="U49" s="35" t="s">
        <v>329</v>
      </c>
      <c r="V49" s="126">
        <v>0</v>
      </c>
      <c r="W49" s="77" t="s">
        <v>337</v>
      </c>
      <c r="X49" s="39" t="s">
        <v>257</v>
      </c>
      <c r="Y49" s="134" t="s">
        <v>338</v>
      </c>
      <c r="Z49" s="123">
        <f t="shared" si="10"/>
        <v>0</v>
      </c>
      <c r="AA49" s="77" t="s">
        <v>339</v>
      </c>
      <c r="AB49" s="39" t="s">
        <v>254</v>
      </c>
      <c r="AC49" s="127" t="s">
        <v>340</v>
      </c>
      <c r="AD49" s="32" t="s">
        <v>330</v>
      </c>
      <c r="AE49" s="128">
        <v>1.55</v>
      </c>
      <c r="AF49" s="32" t="s">
        <v>34</v>
      </c>
    </row>
    <row r="50" spans="2:32" ht="302.39999999999998" x14ac:dyDescent="0.3">
      <c r="B50" s="135" t="s">
        <v>341</v>
      </c>
      <c r="C50" s="84" t="s">
        <v>334</v>
      </c>
      <c r="D50" s="83" t="s">
        <v>349</v>
      </c>
      <c r="E50" s="84" t="s">
        <v>348</v>
      </c>
      <c r="F50" s="84" t="s">
        <v>351</v>
      </c>
      <c r="G50" s="84" t="s">
        <v>1592</v>
      </c>
      <c r="H50" s="84" t="s">
        <v>1593</v>
      </c>
      <c r="I50" s="136" t="s">
        <v>45</v>
      </c>
      <c r="J50" s="142" t="s">
        <v>342</v>
      </c>
      <c r="K50" s="142" t="s">
        <v>342</v>
      </c>
      <c r="L50" s="85" t="s">
        <v>303</v>
      </c>
      <c r="M50" s="87" t="s">
        <v>343</v>
      </c>
      <c r="N50" s="87" t="s">
        <v>1910</v>
      </c>
      <c r="O50" s="87" t="s">
        <v>1442</v>
      </c>
      <c r="P50" s="86">
        <v>375</v>
      </c>
      <c r="Q50" s="86">
        <f t="shared" si="11"/>
        <v>1875</v>
      </c>
      <c r="R50" s="84" t="s">
        <v>1336</v>
      </c>
      <c r="S50" s="89" t="s">
        <v>188</v>
      </c>
      <c r="T50" s="84" t="s">
        <v>345</v>
      </c>
      <c r="U50" s="85" t="s">
        <v>346</v>
      </c>
      <c r="V50" s="137" t="s">
        <v>347</v>
      </c>
      <c r="W50" s="101" t="s">
        <v>350</v>
      </c>
      <c r="X50" s="99" t="s">
        <v>257</v>
      </c>
      <c r="Y50" s="99" t="s">
        <v>352</v>
      </c>
      <c r="Z50" s="94">
        <v>0.18990000000000001</v>
      </c>
      <c r="AA50" s="101" t="s">
        <v>353</v>
      </c>
      <c r="AB50" s="99" t="s">
        <v>254</v>
      </c>
      <c r="AC50" s="99" t="s">
        <v>354</v>
      </c>
      <c r="AD50" s="84" t="s">
        <v>1443</v>
      </c>
      <c r="AE50" s="138">
        <v>5</v>
      </c>
      <c r="AF50" s="84" t="s">
        <v>34</v>
      </c>
    </row>
    <row r="51" spans="2:32" ht="100.8" x14ac:dyDescent="0.3">
      <c r="B51" s="146" t="s">
        <v>355</v>
      </c>
      <c r="C51" s="85" t="s">
        <v>413</v>
      </c>
      <c r="D51" s="139" t="s">
        <v>356</v>
      </c>
      <c r="E51" s="139" t="s">
        <v>357</v>
      </c>
      <c r="F51" s="139" t="s">
        <v>356</v>
      </c>
      <c r="G51" s="139" t="s">
        <v>357</v>
      </c>
      <c r="H51" s="139" t="s">
        <v>356</v>
      </c>
      <c r="I51" s="139" t="s">
        <v>71</v>
      </c>
      <c r="J51" s="90" t="s">
        <v>358</v>
      </c>
      <c r="K51" s="90" t="s">
        <v>359</v>
      </c>
      <c r="L51" s="84" t="s">
        <v>360</v>
      </c>
      <c r="M51" s="86" t="s">
        <v>361</v>
      </c>
      <c r="N51" s="86" t="s">
        <v>362</v>
      </c>
      <c r="O51" s="87" t="s">
        <v>1432</v>
      </c>
      <c r="P51" s="139" t="s">
        <v>82</v>
      </c>
      <c r="Q51" s="86" t="s">
        <v>356</v>
      </c>
      <c r="R51" s="32" t="s">
        <v>103</v>
      </c>
      <c r="S51" s="89" t="s">
        <v>71</v>
      </c>
      <c r="T51" s="85" t="s">
        <v>364</v>
      </c>
      <c r="U51" s="85" t="s">
        <v>365</v>
      </c>
      <c r="V51" s="85">
        <v>0</v>
      </c>
      <c r="W51" s="91" t="s">
        <v>414</v>
      </c>
      <c r="X51" s="99" t="s">
        <v>415</v>
      </c>
      <c r="Y51" s="139">
        <v>0</v>
      </c>
      <c r="Z51" s="139" t="s">
        <v>356</v>
      </c>
      <c r="AA51" s="139" t="s">
        <v>356</v>
      </c>
      <c r="AB51" s="139" t="s">
        <v>356</v>
      </c>
      <c r="AC51" s="139" t="s">
        <v>356</v>
      </c>
      <c r="AD51" s="84" t="s">
        <v>416</v>
      </c>
      <c r="AE51" s="139" t="s">
        <v>71</v>
      </c>
      <c r="AF51" s="139" t="s">
        <v>71</v>
      </c>
    </row>
    <row r="52" spans="2:32" ht="115.2" x14ac:dyDescent="0.3">
      <c r="B52" s="147" t="s">
        <v>366</v>
      </c>
      <c r="C52" s="82" t="s">
        <v>990</v>
      </c>
      <c r="D52" s="139" t="s">
        <v>356</v>
      </c>
      <c r="E52" s="139" t="s">
        <v>357</v>
      </c>
      <c r="F52" s="139" t="s">
        <v>356</v>
      </c>
      <c r="G52" s="139" t="s">
        <v>357</v>
      </c>
      <c r="H52" s="139" t="s">
        <v>356</v>
      </c>
      <c r="I52" s="139" t="s">
        <v>71</v>
      </c>
      <c r="J52" s="90" t="s">
        <v>367</v>
      </c>
      <c r="K52" s="90" t="s">
        <v>368</v>
      </c>
      <c r="L52" s="84" t="s">
        <v>369</v>
      </c>
      <c r="M52" s="82" t="s">
        <v>370</v>
      </c>
      <c r="N52" s="82" t="s">
        <v>371</v>
      </c>
      <c r="O52" s="82" t="s">
        <v>372</v>
      </c>
      <c r="P52" s="86">
        <v>6666</v>
      </c>
      <c r="Q52" s="86" t="s">
        <v>356</v>
      </c>
      <c r="R52" s="85" t="s">
        <v>373</v>
      </c>
      <c r="S52" s="89" t="s">
        <v>71</v>
      </c>
      <c r="T52" s="85">
        <v>25</v>
      </c>
      <c r="U52" s="85" t="s">
        <v>374</v>
      </c>
      <c r="V52" s="85">
        <v>0</v>
      </c>
      <c r="W52" s="91" t="s">
        <v>423</v>
      </c>
      <c r="X52" s="99" t="s">
        <v>415</v>
      </c>
      <c r="Y52" s="139">
        <v>0</v>
      </c>
      <c r="Z52" s="139" t="s">
        <v>356</v>
      </c>
      <c r="AA52" s="139" t="s">
        <v>356</v>
      </c>
      <c r="AB52" s="139" t="s">
        <v>356</v>
      </c>
      <c r="AC52" s="139" t="s">
        <v>356</v>
      </c>
      <c r="AD52" s="84" t="s">
        <v>417</v>
      </c>
      <c r="AE52" s="139" t="s">
        <v>71</v>
      </c>
      <c r="AF52" s="139" t="s">
        <v>71</v>
      </c>
    </row>
    <row r="53" spans="2:32" ht="115.2" x14ac:dyDescent="0.3">
      <c r="B53" s="148" t="s">
        <v>375</v>
      </c>
      <c r="C53" s="82" t="s">
        <v>420</v>
      </c>
      <c r="D53" s="139" t="s">
        <v>356</v>
      </c>
      <c r="E53" s="139" t="s">
        <v>357</v>
      </c>
      <c r="F53" s="139" t="s">
        <v>356</v>
      </c>
      <c r="G53" s="139" t="s">
        <v>357</v>
      </c>
      <c r="H53" s="139" t="s">
        <v>356</v>
      </c>
      <c r="I53" s="139" t="s">
        <v>71</v>
      </c>
      <c r="J53" s="90" t="s">
        <v>367</v>
      </c>
      <c r="K53" s="90" t="s">
        <v>368</v>
      </c>
      <c r="L53" s="84" t="s">
        <v>369</v>
      </c>
      <c r="M53" s="82" t="s">
        <v>370</v>
      </c>
      <c r="N53" s="82" t="s">
        <v>371</v>
      </c>
      <c r="O53" s="82" t="s">
        <v>372</v>
      </c>
      <c r="P53" s="139" t="s">
        <v>84</v>
      </c>
      <c r="Q53" s="86" t="s">
        <v>356</v>
      </c>
      <c r="R53" s="32" t="s">
        <v>103</v>
      </c>
      <c r="S53" s="89" t="s">
        <v>71</v>
      </c>
      <c r="T53" s="85">
        <v>25</v>
      </c>
      <c r="U53" s="85" t="s">
        <v>374</v>
      </c>
      <c r="V53" s="85">
        <v>0</v>
      </c>
      <c r="W53" s="91" t="s">
        <v>424</v>
      </c>
      <c r="X53" s="99" t="s">
        <v>415</v>
      </c>
      <c r="Y53" s="139">
        <v>0</v>
      </c>
      <c r="Z53" s="139" t="s">
        <v>356</v>
      </c>
      <c r="AA53" s="139" t="s">
        <v>356</v>
      </c>
      <c r="AB53" s="139" t="s">
        <v>356</v>
      </c>
      <c r="AC53" s="139" t="s">
        <v>356</v>
      </c>
      <c r="AD53" s="84" t="s">
        <v>418</v>
      </c>
      <c r="AE53" s="139" t="s">
        <v>71</v>
      </c>
      <c r="AF53" s="139" t="s">
        <v>71</v>
      </c>
    </row>
    <row r="54" spans="2:32" ht="115.2" x14ac:dyDescent="0.3">
      <c r="B54" s="148" t="s">
        <v>422</v>
      </c>
      <c r="C54" s="84" t="s">
        <v>421</v>
      </c>
      <c r="D54" s="139" t="s">
        <v>356</v>
      </c>
      <c r="E54" s="139" t="s">
        <v>357</v>
      </c>
      <c r="F54" s="139" t="s">
        <v>356</v>
      </c>
      <c r="G54" s="139" t="s">
        <v>357</v>
      </c>
      <c r="H54" s="139" t="s">
        <v>356</v>
      </c>
      <c r="I54" s="139" t="s">
        <v>71</v>
      </c>
      <c r="J54" s="90" t="s">
        <v>367</v>
      </c>
      <c r="K54" s="90" t="s">
        <v>368</v>
      </c>
      <c r="L54" s="84" t="s">
        <v>369</v>
      </c>
      <c r="M54" s="82" t="s">
        <v>370</v>
      </c>
      <c r="N54" s="82" t="s">
        <v>371</v>
      </c>
      <c r="O54" s="82" t="s">
        <v>372</v>
      </c>
      <c r="P54" s="139" t="s">
        <v>86</v>
      </c>
      <c r="Q54" s="86" t="s">
        <v>356</v>
      </c>
      <c r="R54" s="32" t="s">
        <v>103</v>
      </c>
      <c r="S54" s="89" t="s">
        <v>71</v>
      </c>
      <c r="T54" s="85">
        <v>25</v>
      </c>
      <c r="U54" s="85" t="s">
        <v>374</v>
      </c>
      <c r="V54" s="85">
        <v>0</v>
      </c>
      <c r="W54" s="91" t="s">
        <v>424</v>
      </c>
      <c r="X54" s="99" t="s">
        <v>415</v>
      </c>
      <c r="Y54" s="139">
        <v>0</v>
      </c>
      <c r="Z54" s="139" t="s">
        <v>356</v>
      </c>
      <c r="AA54" s="139" t="s">
        <v>356</v>
      </c>
      <c r="AB54" s="139" t="s">
        <v>356</v>
      </c>
      <c r="AC54" s="139" t="s">
        <v>356</v>
      </c>
      <c r="AD54" s="84" t="s">
        <v>419</v>
      </c>
      <c r="AE54" s="139" t="s">
        <v>71</v>
      </c>
      <c r="AF54" s="139" t="s">
        <v>71</v>
      </c>
    </row>
    <row r="55" spans="2:32" ht="28.8" customHeight="1" x14ac:dyDescent="0.3">
      <c r="B55" s="149" t="s">
        <v>87</v>
      </c>
      <c r="C55" s="3" t="s">
        <v>425</v>
      </c>
      <c r="D55" s="19" t="s">
        <v>356</v>
      </c>
      <c r="E55" s="19" t="s">
        <v>357</v>
      </c>
      <c r="F55" s="19" t="s">
        <v>356</v>
      </c>
      <c r="G55" s="19" t="s">
        <v>357</v>
      </c>
      <c r="H55" s="19" t="s">
        <v>356</v>
      </c>
      <c r="I55" s="19" t="s">
        <v>71</v>
      </c>
      <c r="J55" s="4" t="s">
        <v>377</v>
      </c>
      <c r="K55" s="4" t="s">
        <v>377</v>
      </c>
      <c r="L55" s="5" t="s">
        <v>378</v>
      </c>
      <c r="M55" s="3" t="s">
        <v>356</v>
      </c>
      <c r="N55" s="3" t="s">
        <v>356</v>
      </c>
      <c r="O55" s="19" t="s">
        <v>71</v>
      </c>
      <c r="P55" s="19" t="s">
        <v>88</v>
      </c>
      <c r="Q55" s="21" t="s">
        <v>356</v>
      </c>
      <c r="R55" s="5" t="s">
        <v>103</v>
      </c>
      <c r="S55" s="10" t="s">
        <v>71</v>
      </c>
      <c r="T55">
        <v>25</v>
      </c>
      <c r="U55" t="s">
        <v>379</v>
      </c>
      <c r="V55">
        <v>0</v>
      </c>
      <c r="W55" s="74" t="s">
        <v>428</v>
      </c>
      <c r="X55" s="143" t="s">
        <v>430</v>
      </c>
      <c r="Y55" s="19">
        <v>0</v>
      </c>
      <c r="Z55" s="19" t="s">
        <v>356</v>
      </c>
      <c r="AA55" s="19" t="s">
        <v>356</v>
      </c>
      <c r="AB55" s="19" t="s">
        <v>356</v>
      </c>
      <c r="AC55" s="19" t="s">
        <v>356</v>
      </c>
      <c r="AD55" s="5" t="s">
        <v>380</v>
      </c>
      <c r="AE55" s="19" t="s">
        <v>71</v>
      </c>
      <c r="AF55" s="19" t="s">
        <v>71</v>
      </c>
    </row>
    <row r="56" spans="2:32" ht="28.8" customHeight="1" x14ac:dyDescent="0.3">
      <c r="B56" s="150" t="s">
        <v>89</v>
      </c>
      <c r="C56" s="30" t="s">
        <v>426</v>
      </c>
      <c r="D56" s="31" t="s">
        <v>356</v>
      </c>
      <c r="E56" s="31" t="s">
        <v>357</v>
      </c>
      <c r="F56" s="31" t="s">
        <v>356</v>
      </c>
      <c r="G56" s="31" t="s">
        <v>357</v>
      </c>
      <c r="H56" s="31" t="s">
        <v>356</v>
      </c>
      <c r="I56" s="31" t="s">
        <v>71</v>
      </c>
      <c r="J56" s="34" t="s">
        <v>377</v>
      </c>
      <c r="K56" s="34" t="s">
        <v>377</v>
      </c>
      <c r="L56" s="76" t="s">
        <v>378</v>
      </c>
      <c r="M56" s="30" t="s">
        <v>356</v>
      </c>
      <c r="N56" s="30" t="s">
        <v>356</v>
      </c>
      <c r="O56" s="31" t="s">
        <v>71</v>
      </c>
      <c r="P56" s="31" t="s">
        <v>90</v>
      </c>
      <c r="Q56" s="43" t="s">
        <v>356</v>
      </c>
      <c r="R56" s="32" t="s">
        <v>103</v>
      </c>
      <c r="S56" s="36" t="s">
        <v>71</v>
      </c>
      <c r="T56" s="35">
        <v>25</v>
      </c>
      <c r="U56" s="35" t="s">
        <v>379</v>
      </c>
      <c r="V56" s="35">
        <v>0</v>
      </c>
      <c r="W56" s="77" t="s">
        <v>428</v>
      </c>
      <c r="X56" s="144" t="s">
        <v>430</v>
      </c>
      <c r="Y56" s="31">
        <v>0</v>
      </c>
      <c r="Z56" s="31" t="s">
        <v>356</v>
      </c>
      <c r="AA56" s="31" t="s">
        <v>356</v>
      </c>
      <c r="AB56" s="31" t="s">
        <v>356</v>
      </c>
      <c r="AC56" s="31" t="s">
        <v>356</v>
      </c>
      <c r="AD56" s="32" t="s">
        <v>380</v>
      </c>
      <c r="AE56" s="31" t="s">
        <v>71</v>
      </c>
      <c r="AF56" s="31" t="s">
        <v>71</v>
      </c>
    </row>
    <row r="57" spans="2:32" ht="72" x14ac:dyDescent="0.3">
      <c r="B57" s="151" t="s">
        <v>93</v>
      </c>
      <c r="C57" s="35" t="s">
        <v>427</v>
      </c>
      <c r="D57" s="31" t="s">
        <v>356</v>
      </c>
      <c r="E57" s="31" t="s">
        <v>357</v>
      </c>
      <c r="F57" s="31" t="s">
        <v>356</v>
      </c>
      <c r="G57" s="31" t="s">
        <v>357</v>
      </c>
      <c r="H57" s="31" t="s">
        <v>356</v>
      </c>
      <c r="I57" s="31" t="s">
        <v>71</v>
      </c>
      <c r="J57" s="34" t="s">
        <v>382</v>
      </c>
      <c r="K57" s="34" t="s">
        <v>383</v>
      </c>
      <c r="L57" s="76" t="s">
        <v>1461</v>
      </c>
      <c r="M57" s="30" t="s">
        <v>356</v>
      </c>
      <c r="N57" s="30" t="s">
        <v>356</v>
      </c>
      <c r="O57" s="31" t="s">
        <v>71</v>
      </c>
      <c r="P57" s="43" t="s">
        <v>384</v>
      </c>
      <c r="Q57" s="43" t="s">
        <v>356</v>
      </c>
      <c r="R57" s="32" t="s">
        <v>1462</v>
      </c>
      <c r="S57" s="36" t="s">
        <v>71</v>
      </c>
      <c r="T57" s="35">
        <v>30</v>
      </c>
      <c r="U57" s="35" t="s">
        <v>385</v>
      </c>
      <c r="V57" s="34">
        <v>0</v>
      </c>
      <c r="W57" s="91" t="s">
        <v>429</v>
      </c>
      <c r="X57" s="145" t="s">
        <v>315</v>
      </c>
      <c r="Y57" s="31">
        <v>0</v>
      </c>
      <c r="Z57" s="31" t="s">
        <v>356</v>
      </c>
      <c r="AA57" s="31" t="s">
        <v>356</v>
      </c>
      <c r="AB57" s="31" t="s">
        <v>356</v>
      </c>
      <c r="AC57" s="31" t="s">
        <v>356</v>
      </c>
      <c r="AD57" s="32" t="s">
        <v>1463</v>
      </c>
      <c r="AE57" s="139" t="s">
        <v>71</v>
      </c>
      <c r="AF57" s="139" t="s">
        <v>71</v>
      </c>
    </row>
    <row r="58" spans="2:32" x14ac:dyDescent="0.3">
      <c r="B58" s="140" t="s">
        <v>386</v>
      </c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85"/>
      <c r="X58" s="140"/>
      <c r="Y58" s="140"/>
      <c r="Z58" s="140"/>
      <c r="AA58" s="140"/>
      <c r="AB58" s="140"/>
      <c r="AC58" s="152"/>
      <c r="AD58" s="140"/>
      <c r="AE58" s="140"/>
      <c r="AF58" s="85"/>
    </row>
    <row r="59" spans="2:32" ht="43.2" x14ac:dyDescent="0.3">
      <c r="B59" s="154" t="s">
        <v>431</v>
      </c>
      <c r="C59" s="85" t="s">
        <v>986</v>
      </c>
      <c r="D59" s="139" t="s">
        <v>356</v>
      </c>
      <c r="E59" s="139" t="s">
        <v>357</v>
      </c>
      <c r="F59" s="139" t="s">
        <v>356</v>
      </c>
      <c r="G59" s="139" t="s">
        <v>357</v>
      </c>
      <c r="H59" s="139" t="s">
        <v>356</v>
      </c>
      <c r="I59" s="139" t="s">
        <v>71</v>
      </c>
      <c r="J59" s="90" t="s">
        <v>387</v>
      </c>
      <c r="K59" s="90" t="s">
        <v>387</v>
      </c>
      <c r="L59" s="87" t="s">
        <v>388</v>
      </c>
      <c r="M59" s="139" t="s">
        <v>389</v>
      </c>
      <c r="N59" s="139" t="s">
        <v>389</v>
      </c>
      <c r="O59" s="82" t="s">
        <v>390</v>
      </c>
      <c r="P59" s="139" t="s">
        <v>95</v>
      </c>
      <c r="Q59" s="86" t="s">
        <v>356</v>
      </c>
      <c r="R59" s="32" t="s">
        <v>103</v>
      </c>
      <c r="S59" s="136" t="s">
        <v>392</v>
      </c>
      <c r="T59" s="85">
        <v>13</v>
      </c>
      <c r="U59" s="82" t="s">
        <v>393</v>
      </c>
      <c r="V59" s="84">
        <v>4.6309999999999997E-3</v>
      </c>
      <c r="W59" s="91" t="s">
        <v>432</v>
      </c>
      <c r="X59" s="99" t="s">
        <v>315</v>
      </c>
      <c r="Y59" s="139" t="s">
        <v>356</v>
      </c>
      <c r="Z59" s="139" t="s">
        <v>356</v>
      </c>
      <c r="AA59" s="139" t="s">
        <v>356</v>
      </c>
      <c r="AB59" s="139" t="s">
        <v>356</v>
      </c>
      <c r="AC59" s="139" t="s">
        <v>356</v>
      </c>
      <c r="AD59" s="84" t="s">
        <v>394</v>
      </c>
      <c r="AE59" s="139" t="s">
        <v>71</v>
      </c>
      <c r="AF59" s="139" t="s">
        <v>71</v>
      </c>
    </row>
    <row r="60" spans="2:32" ht="28.8" customHeight="1" x14ac:dyDescent="0.3">
      <c r="B60" s="155" t="s">
        <v>434</v>
      </c>
      <c r="C60" s="35" t="s">
        <v>433</v>
      </c>
      <c r="D60" s="31" t="s">
        <v>356</v>
      </c>
      <c r="E60" s="31" t="s">
        <v>357</v>
      </c>
      <c r="F60" s="31" t="s">
        <v>356</v>
      </c>
      <c r="G60" s="31" t="s">
        <v>357</v>
      </c>
      <c r="H60" s="31" t="s">
        <v>356</v>
      </c>
      <c r="I60" s="31" t="s">
        <v>71</v>
      </c>
      <c r="J60" s="126" t="s">
        <v>395</v>
      </c>
      <c r="K60" s="126" t="s">
        <v>395</v>
      </c>
      <c r="L60" s="30" t="s">
        <v>1435</v>
      </c>
      <c r="M60" s="31" t="s">
        <v>396</v>
      </c>
      <c r="N60" s="31" t="s">
        <v>396</v>
      </c>
      <c r="O60" s="30" t="s">
        <v>1428</v>
      </c>
      <c r="P60" s="43" t="s">
        <v>435</v>
      </c>
      <c r="Q60" s="43" t="s">
        <v>356</v>
      </c>
      <c r="R60" s="35" t="s">
        <v>397</v>
      </c>
      <c r="S60" s="45" t="s">
        <v>71</v>
      </c>
      <c r="T60" s="126" t="s">
        <v>398</v>
      </c>
      <c r="U60" s="30" t="s">
        <v>397</v>
      </c>
      <c r="V60" s="34">
        <v>0</v>
      </c>
      <c r="W60" s="153">
        <f>22%*35/135</f>
        <v>5.7037037037037039E-2</v>
      </c>
      <c r="X60" s="99" t="s">
        <v>315</v>
      </c>
      <c r="Y60" s="31" t="s">
        <v>356</v>
      </c>
      <c r="Z60" s="31" t="s">
        <v>356</v>
      </c>
      <c r="AA60" s="31" t="s">
        <v>356</v>
      </c>
      <c r="AB60" s="31" t="s">
        <v>356</v>
      </c>
      <c r="AC60" s="31" t="s">
        <v>356</v>
      </c>
      <c r="AD60" s="35" t="s">
        <v>399</v>
      </c>
      <c r="AE60" s="139" t="s">
        <v>71</v>
      </c>
      <c r="AF60" s="139" t="s">
        <v>71</v>
      </c>
    </row>
    <row r="61" spans="2:32" ht="28.8" x14ac:dyDescent="0.3">
      <c r="B61" s="156" t="s">
        <v>400</v>
      </c>
      <c r="C61" s="85" t="s">
        <v>436</v>
      </c>
      <c r="D61" s="139" t="s">
        <v>356</v>
      </c>
      <c r="E61" s="139" t="s">
        <v>357</v>
      </c>
      <c r="F61" s="139" t="s">
        <v>356</v>
      </c>
      <c r="G61" s="139" t="s">
        <v>357</v>
      </c>
      <c r="H61" s="139" t="s">
        <v>356</v>
      </c>
      <c r="I61" s="139" t="s">
        <v>71</v>
      </c>
      <c r="J61" s="90" t="s">
        <v>401</v>
      </c>
      <c r="K61" s="90" t="s">
        <v>401</v>
      </c>
      <c r="L61" s="87" t="s">
        <v>1433</v>
      </c>
      <c r="M61" s="139" t="s">
        <v>402</v>
      </c>
      <c r="N61" s="139" t="s">
        <v>402</v>
      </c>
      <c r="O61" s="82" t="s">
        <v>1429</v>
      </c>
      <c r="P61" s="139" t="s">
        <v>403</v>
      </c>
      <c r="Q61" s="86" t="s">
        <v>356</v>
      </c>
      <c r="R61" s="85" t="s">
        <v>404</v>
      </c>
      <c r="S61" s="89" t="s">
        <v>71</v>
      </c>
      <c r="T61" s="85">
        <v>15</v>
      </c>
      <c r="U61" s="82" t="s">
        <v>405</v>
      </c>
      <c r="V61" s="34">
        <v>0</v>
      </c>
      <c r="W61" s="141">
        <f>12.09*51%/637.5</f>
        <v>9.672E-3</v>
      </c>
      <c r="X61" s="99" t="s">
        <v>211</v>
      </c>
      <c r="Y61" s="31" t="s">
        <v>356</v>
      </c>
      <c r="Z61" s="139" t="s">
        <v>356</v>
      </c>
      <c r="AA61" s="139" t="s">
        <v>356</v>
      </c>
      <c r="AB61" s="139" t="s">
        <v>356</v>
      </c>
      <c r="AC61" s="139" t="s">
        <v>356</v>
      </c>
      <c r="AD61" s="85" t="s">
        <v>407</v>
      </c>
      <c r="AE61" s="139" t="s">
        <v>71</v>
      </c>
      <c r="AF61" s="139" t="s">
        <v>71</v>
      </c>
    </row>
    <row r="62" spans="2:32" ht="28.8" x14ac:dyDescent="0.3">
      <c r="B62" s="157" t="s">
        <v>100</v>
      </c>
      <c r="C62" s="85" t="s">
        <v>438</v>
      </c>
      <c r="D62" s="139" t="s">
        <v>356</v>
      </c>
      <c r="E62" s="139" t="s">
        <v>357</v>
      </c>
      <c r="F62" s="139" t="s">
        <v>356</v>
      </c>
      <c r="G62" s="139" t="s">
        <v>357</v>
      </c>
      <c r="H62" s="139" t="s">
        <v>356</v>
      </c>
      <c r="I62" s="139" t="s">
        <v>71</v>
      </c>
      <c r="J62" s="90" t="s">
        <v>408</v>
      </c>
      <c r="K62" s="90" t="s">
        <v>408</v>
      </c>
      <c r="L62" s="87" t="s">
        <v>1434</v>
      </c>
      <c r="M62" s="139" t="s">
        <v>402</v>
      </c>
      <c r="N62" s="139" t="s">
        <v>402</v>
      </c>
      <c r="O62" s="82" t="s">
        <v>1429</v>
      </c>
      <c r="P62" s="86" t="s">
        <v>437</v>
      </c>
      <c r="Q62" s="86" t="s">
        <v>356</v>
      </c>
      <c r="R62" s="84" t="s">
        <v>410</v>
      </c>
      <c r="S62" s="89" t="s">
        <v>71</v>
      </c>
      <c r="T62" s="142" t="s">
        <v>411</v>
      </c>
      <c r="U62" s="82" t="s">
        <v>412</v>
      </c>
      <c r="V62" s="34">
        <v>0</v>
      </c>
      <c r="W62" s="141">
        <f>1.14*43%/2125</f>
        <v>2.3068235294117646E-4</v>
      </c>
      <c r="X62" s="99" t="s">
        <v>415</v>
      </c>
      <c r="Y62" s="31" t="s">
        <v>356</v>
      </c>
      <c r="Z62" s="139" t="s">
        <v>356</v>
      </c>
      <c r="AA62" s="139" t="s">
        <v>356</v>
      </c>
      <c r="AB62" s="139" t="s">
        <v>356</v>
      </c>
      <c r="AC62" s="139" t="s">
        <v>356</v>
      </c>
      <c r="AD62" s="85" t="s">
        <v>407</v>
      </c>
      <c r="AE62" s="139" t="s">
        <v>71</v>
      </c>
      <c r="AF62" s="139" t="s">
        <v>71</v>
      </c>
    </row>
    <row r="63" spans="2:32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"/>
      <c r="AD63" s="1"/>
      <c r="AE63" s="1"/>
    </row>
    <row r="64" spans="2:32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"/>
      <c r="AD64" s="1"/>
      <c r="AE64" s="1"/>
    </row>
    <row r="65" spans="2:3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2"/>
      <c r="AD65" s="1"/>
      <c r="AE65" s="1"/>
    </row>
    <row r="66" spans="2:3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</row>
    <row r="67" spans="2:3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</row>
    <row r="68" spans="2:3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</row>
    <row r="69" spans="2:3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</row>
    <row r="70" spans="2:3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</row>
    <row r="71" spans="2:3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</row>
    <row r="72" spans="2:3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</row>
    <row r="73" spans="2:3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</row>
    <row r="74" spans="2:3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</row>
    <row r="75" spans="2:3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</row>
    <row r="76" spans="2:3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</row>
    <row r="77" spans="2:3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</row>
    <row r="78" spans="2:3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</row>
    <row r="79" spans="2:3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</row>
    <row r="80" spans="2:3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</row>
    <row r="81" spans="2:3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</row>
    <row r="82" spans="2:3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</row>
    <row r="83" spans="2:3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</row>
    <row r="84" spans="2:3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</row>
    <row r="85" spans="2:3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</row>
    <row r="86" spans="2:3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</row>
    <row r="87" spans="2:3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</row>
    <row r="88" spans="2:3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</row>
    <row r="89" spans="2:3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</row>
    <row r="90" spans="2:3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</row>
    <row r="91" spans="2:3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</row>
    <row r="92" spans="2:3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</row>
    <row r="93" spans="2:3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</row>
    <row r="94" spans="2:3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</row>
    <row r="95" spans="2:3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</row>
    <row r="96" spans="2:3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</row>
    <row r="97" spans="2:3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</row>
    <row r="98" spans="2:31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</row>
  </sheetData>
  <autoFilter ref="B2:B62" xr:uid="{00000000-0001-0000-0000-000000000000}"/>
  <mergeCells count="1">
    <mergeCell ref="Z1:AD1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3559-056F-4A9F-B40A-291E5272323B}">
  <dimension ref="A1:AE260"/>
  <sheetViews>
    <sheetView topLeftCell="G3" zoomScale="85" zoomScaleNormal="85" workbookViewId="0">
      <selection activeCell="A209" sqref="A209:XFD209"/>
    </sheetView>
  </sheetViews>
  <sheetFormatPr defaultRowHeight="14.4" x14ac:dyDescent="0.3"/>
  <cols>
    <col min="1" max="1" width="13" customWidth="1"/>
    <col min="2" max="2" width="45.5546875" customWidth="1"/>
    <col min="3" max="3" width="24.88671875" customWidth="1"/>
    <col min="4" max="4" width="35.33203125" customWidth="1"/>
    <col min="5" max="6" width="22.44140625" customWidth="1"/>
    <col min="7" max="7" width="25.6640625" customWidth="1"/>
    <col min="8" max="8" width="26.109375" customWidth="1"/>
    <col min="9" max="9" width="20.77734375" customWidth="1"/>
    <col min="10" max="10" width="21.6640625" customWidth="1"/>
    <col min="11" max="11" width="16.77734375" bestFit="1" customWidth="1"/>
    <col min="12" max="12" width="17.77734375" customWidth="1"/>
    <col min="13" max="13" width="27.21875" customWidth="1"/>
    <col min="14" max="14" width="27.5546875" customWidth="1"/>
    <col min="15" max="15" width="21.6640625" customWidth="1"/>
    <col min="16" max="16" width="21" customWidth="1"/>
    <col min="17" max="17" width="13.5546875" customWidth="1"/>
    <col min="18" max="18" width="36.88671875" bestFit="1" customWidth="1"/>
    <col min="19" max="19" width="42.5546875" bestFit="1" customWidth="1"/>
    <col min="20" max="20" width="39.5546875" customWidth="1"/>
    <col min="21" max="21" width="42" customWidth="1"/>
    <col min="22" max="22" width="51.109375" customWidth="1"/>
    <col min="23" max="23" width="36.44140625" customWidth="1"/>
    <col min="24" max="24" width="32" customWidth="1"/>
    <col min="25" max="25" width="51.88671875" customWidth="1"/>
    <col min="26" max="26" width="35.88671875" customWidth="1"/>
    <col min="27" max="27" width="40.21875" customWidth="1"/>
    <col min="28" max="28" width="19.33203125" customWidth="1"/>
    <col min="29" max="29" width="22.5546875" customWidth="1"/>
    <col min="30" max="30" width="18.6640625" customWidth="1"/>
  </cols>
  <sheetData>
    <row r="1" spans="2:31" x14ac:dyDescent="0.3">
      <c r="B1" s="158" t="s">
        <v>439</v>
      </c>
      <c r="D1" s="18" t="s">
        <v>37</v>
      </c>
      <c r="O1" s="18" t="s">
        <v>37</v>
      </c>
      <c r="X1" s="275" t="s">
        <v>37</v>
      </c>
      <c r="Y1" s="275"/>
      <c r="Z1" s="275"/>
      <c r="AA1" s="275"/>
    </row>
    <row r="2" spans="2:31" x14ac:dyDescent="0.3">
      <c r="B2" s="1" t="s">
        <v>0</v>
      </c>
      <c r="C2" s="240" t="s">
        <v>1161</v>
      </c>
      <c r="D2" s="241" t="s">
        <v>118</v>
      </c>
      <c r="E2" s="240" t="s">
        <v>996</v>
      </c>
      <c r="F2" s="240" t="s">
        <v>997</v>
      </c>
      <c r="G2" s="240" t="s">
        <v>3</v>
      </c>
      <c r="H2" s="240" t="s">
        <v>4</v>
      </c>
      <c r="I2" s="240" t="s">
        <v>5</v>
      </c>
      <c r="J2" s="240" t="s">
        <v>6</v>
      </c>
      <c r="K2" s="240" t="s">
        <v>7</v>
      </c>
      <c r="L2" s="240" t="s">
        <v>8</v>
      </c>
      <c r="M2" s="240" t="s">
        <v>9</v>
      </c>
      <c r="N2" s="240" t="s">
        <v>10</v>
      </c>
      <c r="O2" s="241" t="s">
        <v>108</v>
      </c>
      <c r="P2" s="240" t="s">
        <v>11</v>
      </c>
      <c r="Q2" s="240" t="s">
        <v>12</v>
      </c>
      <c r="R2" s="240" t="s">
        <v>13</v>
      </c>
      <c r="S2" s="240" t="s">
        <v>14</v>
      </c>
      <c r="T2" s="240" t="s">
        <v>440</v>
      </c>
      <c r="U2" s="240" t="s">
        <v>441</v>
      </c>
      <c r="V2" s="240" t="s">
        <v>442</v>
      </c>
      <c r="W2" s="240" t="s">
        <v>15</v>
      </c>
      <c r="X2" s="241" t="s">
        <v>114</v>
      </c>
      <c r="Y2" s="241" t="s">
        <v>113</v>
      </c>
      <c r="Z2" s="241" t="s">
        <v>112</v>
      </c>
      <c r="AA2" s="241" t="s">
        <v>117</v>
      </c>
      <c r="AB2" s="240" t="s">
        <v>16</v>
      </c>
      <c r="AC2" s="240" t="s">
        <v>1203</v>
      </c>
      <c r="AD2" s="240" t="s">
        <v>1202</v>
      </c>
      <c r="AE2" s="240" t="s">
        <v>443</v>
      </c>
    </row>
    <row r="3" spans="2:31" ht="43.2" customHeight="1" x14ac:dyDescent="0.3">
      <c r="B3" s="29" t="s">
        <v>444</v>
      </c>
      <c r="C3">
        <v>2</v>
      </c>
      <c r="D3" s="11">
        <f t="shared" ref="D3:D13" si="0">$C3/$AC3</f>
        <v>6.756756756756757</v>
      </c>
      <c r="E3" s="5" t="s">
        <v>1162</v>
      </c>
      <c r="F3" s="5" t="s">
        <v>1163</v>
      </c>
      <c r="G3" s="9" t="s">
        <v>20</v>
      </c>
      <c r="H3" s="4" t="s">
        <v>1898</v>
      </c>
      <c r="I3" s="4" t="s">
        <v>1898</v>
      </c>
      <c r="J3" t="s">
        <v>21</v>
      </c>
      <c r="K3" s="5" t="s">
        <v>22</v>
      </c>
      <c r="L3" s="5" t="s">
        <v>23</v>
      </c>
      <c r="M3" t="s">
        <v>24</v>
      </c>
      <c r="N3">
        <v>18530</v>
      </c>
      <c r="O3" s="11">
        <f>N3*30%</f>
        <v>5559</v>
      </c>
      <c r="P3" s="5" t="s">
        <v>25</v>
      </c>
      <c r="Q3" s="276" t="s">
        <v>26</v>
      </c>
      <c r="R3">
        <v>15</v>
      </c>
      <c r="S3" t="s">
        <v>25</v>
      </c>
      <c r="T3" s="13">
        <f>0.0674/AC3</f>
        <v>0.22770270270270271</v>
      </c>
      <c r="U3" s="13">
        <f t="shared" ref="U3:U13" si="1">$N3*44%/(8760*80%*$R3)+$T3</f>
        <v>0.30526358550331156</v>
      </c>
      <c r="V3">
        <v>414</v>
      </c>
      <c r="W3" s="238">
        <f>(1/6/0.3*0.0674+$V3*0.5/48)</f>
        <v>4.3499444444444446</v>
      </c>
      <c r="X3" s="13">
        <f>T3*AC3</f>
        <v>6.7400000000000002E-2</v>
      </c>
      <c r="Y3" s="13">
        <f>U3*AC3</f>
        <v>9.0358021308980213E-2</v>
      </c>
      <c r="Z3" s="162">
        <f>V3*AC3</f>
        <v>122.544</v>
      </c>
      <c r="AA3" s="6">
        <f>W3*AC3</f>
        <v>1.2875835555555555</v>
      </c>
      <c r="AB3" s="5" t="s">
        <v>445</v>
      </c>
      <c r="AC3" s="232">
        <v>0.29599999999999999</v>
      </c>
    </row>
    <row r="4" spans="2:31" ht="43.2" customHeight="1" x14ac:dyDescent="0.3">
      <c r="B4" s="29" t="s">
        <v>444</v>
      </c>
      <c r="C4">
        <v>5</v>
      </c>
      <c r="D4" s="11">
        <f t="shared" si="0"/>
        <v>16.891891891891891</v>
      </c>
      <c r="E4" s="5" t="s">
        <v>1164</v>
      </c>
      <c r="F4" s="5" t="s">
        <v>1165</v>
      </c>
      <c r="G4" s="9" t="s">
        <v>20</v>
      </c>
      <c r="H4" s="4" t="s">
        <v>1898</v>
      </c>
      <c r="I4" s="4" t="s">
        <v>1898</v>
      </c>
      <c r="J4" t="s">
        <v>21</v>
      </c>
      <c r="K4" s="5" t="s">
        <v>22</v>
      </c>
      <c r="L4" s="5" t="s">
        <v>23</v>
      </c>
      <c r="M4" t="s">
        <v>24</v>
      </c>
      <c r="N4">
        <v>10682</v>
      </c>
      <c r="O4" s="11">
        <f t="shared" ref="O4" si="2">N4*30%</f>
        <v>3204.6</v>
      </c>
      <c r="P4" s="5" t="s">
        <v>25</v>
      </c>
      <c r="Q4" s="277"/>
      <c r="R4">
        <v>15</v>
      </c>
      <c r="S4" t="s">
        <v>25</v>
      </c>
      <c r="T4" s="13">
        <f t="shared" ref="T4:T13" si="3">0.0674/AC4</f>
        <v>0.22770270270270271</v>
      </c>
      <c r="U4" s="13">
        <f t="shared" si="1"/>
        <v>0.27241427043481836</v>
      </c>
      <c r="V4">
        <v>229</v>
      </c>
      <c r="W4" s="238">
        <f t="shared" ref="W4:W8" si="4">(1/6/0.3*0.0674+$V4*0.5/48)</f>
        <v>2.4228611111111111</v>
      </c>
      <c r="X4" s="13">
        <f t="shared" ref="X4" si="5">T4*AC4</f>
        <v>6.7400000000000002E-2</v>
      </c>
      <c r="Y4" s="13">
        <f t="shared" ref="Y4" si="6">U4*AC4</f>
        <v>8.0634624048706235E-2</v>
      </c>
      <c r="Z4" s="162">
        <f t="shared" ref="Z4" si="7">V4*AC4</f>
        <v>67.783999999999992</v>
      </c>
      <c r="AA4" s="6">
        <f t="shared" ref="AA4" si="8">W4*AC4</f>
        <v>0.71716688888888891</v>
      </c>
      <c r="AB4" s="5" t="s">
        <v>445</v>
      </c>
      <c r="AC4" s="232">
        <v>0.29599999999999999</v>
      </c>
    </row>
    <row r="5" spans="2:31" ht="43.2" customHeight="1" x14ac:dyDescent="0.3">
      <c r="B5" s="29" t="s">
        <v>444</v>
      </c>
      <c r="C5">
        <v>10</v>
      </c>
      <c r="D5" s="11">
        <f t="shared" si="0"/>
        <v>33.783783783783782</v>
      </c>
      <c r="E5" s="5" t="s">
        <v>1166</v>
      </c>
      <c r="F5" s="5" t="s">
        <v>1167</v>
      </c>
      <c r="G5" s="9" t="s">
        <v>20</v>
      </c>
      <c r="H5" s="4" t="s">
        <v>1898</v>
      </c>
      <c r="I5" s="4" t="s">
        <v>1898</v>
      </c>
      <c r="J5" t="s">
        <v>21</v>
      </c>
      <c r="K5" s="5" t="s">
        <v>22</v>
      </c>
      <c r="L5" s="5" t="s">
        <v>23</v>
      </c>
      <c r="M5" t="s">
        <v>24</v>
      </c>
      <c r="N5">
        <v>6813</v>
      </c>
      <c r="O5" s="11">
        <f t="shared" ref="O5" si="9">N5*30%</f>
        <v>2043.8999999999999</v>
      </c>
      <c r="P5" s="5" t="s">
        <v>25</v>
      </c>
      <c r="Q5" s="277"/>
      <c r="R5">
        <v>15</v>
      </c>
      <c r="S5" t="s">
        <v>25</v>
      </c>
      <c r="T5" s="13">
        <f t="shared" si="3"/>
        <v>0.22770270270270271</v>
      </c>
      <c r="U5" s="13">
        <f t="shared" si="1"/>
        <v>0.25621982599037396</v>
      </c>
      <c r="V5">
        <v>196</v>
      </c>
      <c r="W5" s="238">
        <f t="shared" si="4"/>
        <v>2.0791111111111111</v>
      </c>
      <c r="X5" s="13">
        <f t="shared" ref="X5" si="10">T5*AC5</f>
        <v>6.7400000000000002E-2</v>
      </c>
      <c r="Y5" s="13">
        <f t="shared" ref="Y5" si="11">U5*AC5</f>
        <v>7.5841068493150685E-2</v>
      </c>
      <c r="Z5" s="162">
        <f t="shared" ref="Z5" si="12">V5*AC5</f>
        <v>58.015999999999998</v>
      </c>
      <c r="AA5" s="6">
        <f t="shared" ref="AA5" si="13">W5*AC5</f>
        <v>0.6154168888888889</v>
      </c>
      <c r="AB5" s="5" t="s">
        <v>445</v>
      </c>
      <c r="AC5" s="232">
        <v>0.29599999999999999</v>
      </c>
    </row>
    <row r="6" spans="2:31" ht="43.2" customHeight="1" x14ac:dyDescent="0.3">
      <c r="B6" s="29" t="s">
        <v>444</v>
      </c>
      <c r="C6">
        <v>20</v>
      </c>
      <c r="D6" s="11">
        <f t="shared" si="0"/>
        <v>65.789473684210535</v>
      </c>
      <c r="E6" s="5" t="s">
        <v>1169</v>
      </c>
      <c r="F6" s="5" t="s">
        <v>1170</v>
      </c>
      <c r="G6" s="9" t="s">
        <v>20</v>
      </c>
      <c r="H6" s="4" t="s">
        <v>1898</v>
      </c>
      <c r="I6" s="4" t="s">
        <v>1898</v>
      </c>
      <c r="J6" t="s">
        <v>21</v>
      </c>
      <c r="K6" s="5" t="s">
        <v>22</v>
      </c>
      <c r="L6" s="5" t="s">
        <v>23</v>
      </c>
      <c r="M6" t="s">
        <v>24</v>
      </c>
      <c r="N6">
        <v>4687</v>
      </c>
      <c r="O6" s="11">
        <f t="shared" ref="O6" si="14">N6*30%</f>
        <v>1406.1</v>
      </c>
      <c r="P6" s="5" t="s">
        <v>25</v>
      </c>
      <c r="Q6" s="277"/>
      <c r="R6">
        <v>15</v>
      </c>
      <c r="S6" t="s">
        <v>25</v>
      </c>
      <c r="T6" s="13">
        <f t="shared" si="3"/>
        <v>0.2217105263157895</v>
      </c>
      <c r="U6" s="13">
        <f t="shared" si="1"/>
        <v>0.24132886725947292</v>
      </c>
      <c r="V6">
        <v>174</v>
      </c>
      <c r="W6" s="238">
        <f t="shared" si="4"/>
        <v>1.8499444444444444</v>
      </c>
      <c r="X6" s="13">
        <f t="shared" ref="X6" si="15">T6*AC6</f>
        <v>6.7400000000000002E-2</v>
      </c>
      <c r="Y6" s="13">
        <f t="shared" ref="Y6" si="16">U6*AC6</f>
        <v>7.336397564687977E-2</v>
      </c>
      <c r="Z6" s="162">
        <f t="shared" ref="Z6" si="17">V6*AC6</f>
        <v>52.896000000000001</v>
      </c>
      <c r="AA6" s="6">
        <f t="shared" ref="AA6" si="18">W6*AC6</f>
        <v>0.56238311111111106</v>
      </c>
      <c r="AB6" s="5" t="s">
        <v>445</v>
      </c>
      <c r="AC6" s="232">
        <v>0.30399999999999999</v>
      </c>
    </row>
    <row r="7" spans="2:31" ht="43.2" customHeight="1" x14ac:dyDescent="0.3">
      <c r="B7" s="29" t="s">
        <v>444</v>
      </c>
      <c r="C7">
        <v>30</v>
      </c>
      <c r="D7" s="11">
        <f t="shared" si="0"/>
        <v>95.238095238095241</v>
      </c>
      <c r="E7" s="5" t="s">
        <v>1168</v>
      </c>
      <c r="F7" s="5" t="s">
        <v>1171</v>
      </c>
      <c r="G7" s="9" t="s">
        <v>20</v>
      </c>
      <c r="H7" s="4" t="s">
        <v>1898</v>
      </c>
      <c r="I7" s="4" t="s">
        <v>1898</v>
      </c>
      <c r="J7" t="s">
        <v>21</v>
      </c>
      <c r="K7" s="5" t="s">
        <v>22</v>
      </c>
      <c r="L7" s="5" t="s">
        <v>23</v>
      </c>
      <c r="M7" t="s">
        <v>24</v>
      </c>
      <c r="N7">
        <v>3706</v>
      </c>
      <c r="O7" s="11">
        <f t="shared" ref="O7" si="19">N7*30%</f>
        <v>1111.8</v>
      </c>
      <c r="P7" s="5" t="s">
        <v>25</v>
      </c>
      <c r="Q7" s="277"/>
      <c r="R7">
        <v>15</v>
      </c>
      <c r="S7" t="s">
        <v>25</v>
      </c>
      <c r="T7" s="13">
        <f t="shared" si="3"/>
        <v>0.21396825396825397</v>
      </c>
      <c r="U7" s="13">
        <f t="shared" si="1"/>
        <v>0.22948043052837575</v>
      </c>
      <c r="V7">
        <v>153</v>
      </c>
      <c r="W7" s="238">
        <f t="shared" si="4"/>
        <v>1.6311944444444444</v>
      </c>
      <c r="X7" s="13">
        <f t="shared" ref="X7" si="20">T7*AC7</f>
        <v>6.7400000000000002E-2</v>
      </c>
      <c r="Y7" s="13">
        <f t="shared" ref="Y7" si="21">U7*AC7</f>
        <v>7.2286335616438366E-2</v>
      </c>
      <c r="Z7" s="162">
        <f t="shared" ref="Z7" si="22">V7*AC7</f>
        <v>48.195</v>
      </c>
      <c r="AA7" s="6">
        <f t="shared" ref="AA7" si="23">W7*AC7</f>
        <v>0.51382625000000004</v>
      </c>
      <c r="AB7" s="5" t="s">
        <v>445</v>
      </c>
      <c r="AC7" s="232">
        <v>0.315</v>
      </c>
    </row>
    <row r="8" spans="2:31" ht="43.2" customHeight="1" x14ac:dyDescent="0.3">
      <c r="B8" s="29" t="s">
        <v>444</v>
      </c>
      <c r="C8">
        <v>50</v>
      </c>
      <c r="D8" s="11">
        <f t="shared" si="0"/>
        <v>146.1988304093567</v>
      </c>
      <c r="E8" s="5" t="s">
        <v>1172</v>
      </c>
      <c r="F8" s="5" t="s">
        <v>1173</v>
      </c>
      <c r="G8" s="9" t="s">
        <v>20</v>
      </c>
      <c r="H8" s="4" t="s">
        <v>1898</v>
      </c>
      <c r="I8" s="4" t="s">
        <v>1898</v>
      </c>
      <c r="J8" t="s">
        <v>21</v>
      </c>
      <c r="K8" s="5" t="s">
        <v>22</v>
      </c>
      <c r="L8" s="5" t="s">
        <v>23</v>
      </c>
      <c r="M8" t="s">
        <v>24</v>
      </c>
      <c r="N8">
        <v>3488</v>
      </c>
      <c r="O8" s="11">
        <f t="shared" ref="O8" si="24">N8*30%</f>
        <v>1046.3999999999999</v>
      </c>
      <c r="P8" s="5" t="s">
        <v>25</v>
      </c>
      <c r="Q8" s="277"/>
      <c r="R8">
        <v>15</v>
      </c>
      <c r="S8" t="s">
        <v>25</v>
      </c>
      <c r="T8" s="13">
        <f t="shared" si="3"/>
        <v>0.19707602339181285</v>
      </c>
      <c r="U8" s="13">
        <f t="shared" si="1"/>
        <v>0.21167571897780982</v>
      </c>
      <c r="V8">
        <v>131</v>
      </c>
      <c r="W8" s="238">
        <f t="shared" si="4"/>
        <v>1.4020277777777777</v>
      </c>
      <c r="X8" s="13">
        <f t="shared" ref="X8" si="25">T8*AC8</f>
        <v>6.7400000000000002E-2</v>
      </c>
      <c r="Y8" s="13">
        <f t="shared" ref="Y8" si="26">U8*AC8</f>
        <v>7.2393095890410958E-2</v>
      </c>
      <c r="Z8" s="162">
        <f t="shared" ref="Z8" si="27">V8*AC8</f>
        <v>44.802000000000007</v>
      </c>
      <c r="AA8" s="6">
        <f t="shared" ref="AA8" si="28">W8*AC8</f>
        <v>0.47949350000000002</v>
      </c>
      <c r="AB8" s="5" t="s">
        <v>445</v>
      </c>
      <c r="AC8" s="232">
        <v>0.34200000000000003</v>
      </c>
    </row>
    <row r="9" spans="2:31" ht="43.2" customHeight="1" x14ac:dyDescent="0.3">
      <c r="B9" s="29" t="s">
        <v>444</v>
      </c>
      <c r="C9">
        <v>100</v>
      </c>
      <c r="D9" s="11">
        <f t="shared" si="0"/>
        <v>288.18443804034587</v>
      </c>
      <c r="E9" s="5" t="s">
        <v>1174</v>
      </c>
      <c r="F9" s="5" t="s">
        <v>1175</v>
      </c>
      <c r="G9" s="9" t="s">
        <v>20</v>
      </c>
      <c r="H9" s="4" t="s">
        <v>1898</v>
      </c>
      <c r="I9" s="4" t="s">
        <v>1898</v>
      </c>
      <c r="J9" t="s">
        <v>21</v>
      </c>
      <c r="K9" s="5" t="s">
        <v>22</v>
      </c>
      <c r="L9" s="5" t="s">
        <v>23</v>
      </c>
      <c r="M9" t="s">
        <v>24</v>
      </c>
      <c r="N9">
        <v>2889</v>
      </c>
      <c r="O9" s="11">
        <f>N9*35%</f>
        <v>1011.15</v>
      </c>
      <c r="P9" s="5" t="s">
        <v>25</v>
      </c>
      <c r="Q9" s="277"/>
      <c r="R9">
        <v>15</v>
      </c>
      <c r="S9" t="s">
        <v>25</v>
      </c>
      <c r="T9" s="13">
        <f t="shared" si="3"/>
        <v>0.1942363112391931</v>
      </c>
      <c r="U9" s="13">
        <f t="shared" si="1"/>
        <v>0.20632877699261776</v>
      </c>
      <c r="V9">
        <v>98</v>
      </c>
      <c r="W9" s="238">
        <f>(1/6/0.35*0.0674+$V9*0.5/48)</f>
        <v>1.0529285714285714</v>
      </c>
      <c r="X9" s="13">
        <f t="shared" ref="X9" si="29">T9*AC9</f>
        <v>6.7400000000000002E-2</v>
      </c>
      <c r="Y9" s="13">
        <f t="shared" ref="Y9" si="30">U9*AC9</f>
        <v>7.1596085616438362E-2</v>
      </c>
      <c r="Z9" s="162">
        <f t="shared" ref="Z9" si="31">V9*AC9</f>
        <v>34.006</v>
      </c>
      <c r="AA9" s="6">
        <f t="shared" ref="AA9" si="32">W9*AC9</f>
        <v>0.36536621428571425</v>
      </c>
      <c r="AB9" s="5" t="s">
        <v>445</v>
      </c>
      <c r="AC9" s="232">
        <v>0.34699999999999998</v>
      </c>
    </row>
    <row r="10" spans="2:31" ht="43.2" customHeight="1" x14ac:dyDescent="0.3">
      <c r="B10" s="29" t="s">
        <v>444</v>
      </c>
      <c r="C10">
        <v>300</v>
      </c>
      <c r="D10" s="11">
        <f t="shared" si="0"/>
        <v>789.47368421052636</v>
      </c>
      <c r="E10" s="5" t="s">
        <v>1176</v>
      </c>
      <c r="F10" s="5" t="s">
        <v>1177</v>
      </c>
      <c r="G10" s="9" t="s">
        <v>20</v>
      </c>
      <c r="H10" s="4" t="s">
        <v>1898</v>
      </c>
      <c r="I10" s="4" t="s">
        <v>1898</v>
      </c>
      <c r="J10" t="s">
        <v>21</v>
      </c>
      <c r="K10" s="5" t="s">
        <v>22</v>
      </c>
      <c r="L10" s="5" t="s">
        <v>23</v>
      </c>
      <c r="M10" t="s">
        <v>24</v>
      </c>
      <c r="N10">
        <v>2155</v>
      </c>
      <c r="O10" s="11">
        <f>N10*40%</f>
        <v>862</v>
      </c>
      <c r="P10" s="5" t="s">
        <v>25</v>
      </c>
      <c r="Q10" s="277"/>
      <c r="R10">
        <v>15</v>
      </c>
      <c r="S10" t="s">
        <v>25</v>
      </c>
      <c r="T10" s="13">
        <f t="shared" si="3"/>
        <v>0.17736842105263159</v>
      </c>
      <c r="U10" s="13">
        <f t="shared" si="1"/>
        <v>0.18638858848033327</v>
      </c>
      <c r="V10">
        <v>49</v>
      </c>
      <c r="W10" s="238">
        <f>(1/6/0.4*0.0674+$V10*0.5/48)</f>
        <v>0.53849999999999998</v>
      </c>
      <c r="X10" s="13">
        <f t="shared" ref="X10" si="33">T10*AC10</f>
        <v>6.7400000000000002E-2</v>
      </c>
      <c r="Y10" s="13">
        <f t="shared" ref="Y10" si="34">U10*AC10</f>
        <v>7.082766362252664E-2</v>
      </c>
      <c r="Z10" s="162">
        <f t="shared" ref="Z10" si="35">V10*AC10</f>
        <v>18.62</v>
      </c>
      <c r="AA10" s="6">
        <f t="shared" ref="AA10" si="36">W10*AC10</f>
        <v>0.20463000000000001</v>
      </c>
      <c r="AB10" s="5" t="s">
        <v>445</v>
      </c>
      <c r="AC10" s="232">
        <v>0.38</v>
      </c>
    </row>
    <row r="11" spans="2:31" ht="43.2" customHeight="1" x14ac:dyDescent="0.3">
      <c r="B11" s="29" t="s">
        <v>444</v>
      </c>
      <c r="C11">
        <v>500</v>
      </c>
      <c r="D11" s="11">
        <f t="shared" si="0"/>
        <v>1234.5679012345679</v>
      </c>
      <c r="E11" s="5" t="s">
        <v>1178</v>
      </c>
      <c r="F11" s="5" t="s">
        <v>1179</v>
      </c>
      <c r="G11" s="9" t="s">
        <v>20</v>
      </c>
      <c r="H11" s="4" t="s">
        <v>1898</v>
      </c>
      <c r="I11" s="4" t="s">
        <v>1898</v>
      </c>
      <c r="J11" t="s">
        <v>21</v>
      </c>
      <c r="K11" s="5" t="s">
        <v>22</v>
      </c>
      <c r="L11" s="5" t="s">
        <v>23</v>
      </c>
      <c r="M11" t="s">
        <v>24</v>
      </c>
      <c r="N11">
        <v>1842</v>
      </c>
      <c r="O11" s="11">
        <f t="shared" ref="O11" si="37">N11*40%</f>
        <v>736.80000000000007</v>
      </c>
      <c r="P11" s="5" t="s">
        <v>25</v>
      </c>
      <c r="Q11" s="277"/>
      <c r="R11">
        <v>15</v>
      </c>
      <c r="S11" t="s">
        <v>25</v>
      </c>
      <c r="T11" s="13">
        <f t="shared" si="3"/>
        <v>0.16641975308641974</v>
      </c>
      <c r="U11" s="13">
        <f t="shared" si="1"/>
        <v>0.17412979874852019</v>
      </c>
      <c r="V11">
        <v>38</v>
      </c>
      <c r="W11" s="238">
        <f t="shared" ref="W11:W13" si="38">(1/6/0.4*0.0674+$V11*0.5/48)</f>
        <v>0.42391666666666666</v>
      </c>
      <c r="X11" s="13">
        <f t="shared" ref="X11" si="39">T11*AC11</f>
        <v>6.7400000000000002E-2</v>
      </c>
      <c r="Y11" s="13">
        <f t="shared" ref="Y11" si="40">U11*AC11</f>
        <v>7.0522568493150681E-2</v>
      </c>
      <c r="Z11" s="162">
        <f t="shared" ref="Z11" si="41">V11*AC11</f>
        <v>15.39</v>
      </c>
      <c r="AA11" s="6">
        <f t="shared" ref="AA11" si="42">W11*AC11</f>
        <v>0.17168625000000001</v>
      </c>
      <c r="AB11" s="5" t="s">
        <v>445</v>
      </c>
      <c r="AC11" s="232">
        <v>0.40500000000000003</v>
      </c>
    </row>
    <row r="12" spans="2:31" ht="43.2" customHeight="1" x14ac:dyDescent="0.3">
      <c r="B12" s="29" t="s">
        <v>444</v>
      </c>
      <c r="C12">
        <v>2000</v>
      </c>
      <c r="D12" s="11">
        <f t="shared" si="0"/>
        <v>4761.9047619047624</v>
      </c>
      <c r="E12" s="5" t="s">
        <v>1180</v>
      </c>
      <c r="F12" s="5" t="s">
        <v>1181</v>
      </c>
      <c r="G12" s="9" t="s">
        <v>20</v>
      </c>
      <c r="H12" s="4" t="s">
        <v>1898</v>
      </c>
      <c r="I12" s="4" t="s">
        <v>1898</v>
      </c>
      <c r="J12" t="s">
        <v>21</v>
      </c>
      <c r="K12" s="5" t="s">
        <v>22</v>
      </c>
      <c r="L12" s="5" t="s">
        <v>23</v>
      </c>
      <c r="M12" t="s">
        <v>24</v>
      </c>
      <c r="N12">
        <v>1161</v>
      </c>
      <c r="O12" s="11">
        <f t="shared" ref="O12" si="43">N12*40%</f>
        <v>464.40000000000003</v>
      </c>
      <c r="P12" s="5" t="s">
        <v>25</v>
      </c>
      <c r="Q12" s="277"/>
      <c r="R12">
        <v>15</v>
      </c>
      <c r="S12" t="s">
        <v>25</v>
      </c>
      <c r="T12" s="13">
        <f t="shared" si="3"/>
        <v>0.16047619047619049</v>
      </c>
      <c r="U12" s="13">
        <f t="shared" si="1"/>
        <v>0.1653357795172864</v>
      </c>
      <c r="V12">
        <v>13</v>
      </c>
      <c r="W12" s="238">
        <f t="shared" si="38"/>
        <v>0.16349999999999998</v>
      </c>
      <c r="X12" s="13">
        <f t="shared" ref="X12" si="44">T12*AC12</f>
        <v>6.7400000000000002E-2</v>
      </c>
      <c r="Y12" s="13">
        <f t="shared" ref="Y12" si="45">U12*AC12</f>
        <v>6.9441027397260283E-2</v>
      </c>
      <c r="Z12" s="162">
        <f t="shared" ref="Z12" si="46">V12*AC12</f>
        <v>5.46</v>
      </c>
      <c r="AA12" s="13">
        <f t="shared" ref="AA12" si="47">W12*AC12</f>
        <v>6.8669999999999995E-2</v>
      </c>
      <c r="AB12" s="5" t="s">
        <v>445</v>
      </c>
      <c r="AC12" s="232">
        <v>0.42</v>
      </c>
    </row>
    <row r="13" spans="2:31" ht="43.2" customHeight="1" x14ac:dyDescent="0.3">
      <c r="B13" s="29" t="s">
        <v>444</v>
      </c>
      <c r="C13" s="35">
        <v>10000</v>
      </c>
      <c r="D13" s="60">
        <f t="shared" si="0"/>
        <v>23041.474654377882</v>
      </c>
      <c r="E13" s="32" t="s">
        <v>1182</v>
      </c>
      <c r="F13" s="32" t="s">
        <v>1183</v>
      </c>
      <c r="G13" s="45" t="s">
        <v>20</v>
      </c>
      <c r="H13" s="34" t="s">
        <v>1898</v>
      </c>
      <c r="I13" s="34" t="s">
        <v>1898</v>
      </c>
      <c r="J13" s="35" t="s">
        <v>21</v>
      </c>
      <c r="K13" s="32" t="s">
        <v>22</v>
      </c>
      <c r="L13" s="32" t="s">
        <v>23</v>
      </c>
      <c r="M13" s="35" t="s">
        <v>24</v>
      </c>
      <c r="N13" s="35">
        <v>1045</v>
      </c>
      <c r="O13" s="60">
        <f t="shared" ref="O13" si="48">N13*40%</f>
        <v>418</v>
      </c>
      <c r="P13" s="32" t="s">
        <v>25</v>
      </c>
      <c r="Q13" s="278"/>
      <c r="R13" s="35">
        <v>15</v>
      </c>
      <c r="S13" s="35" t="s">
        <v>25</v>
      </c>
      <c r="T13" s="64">
        <f t="shared" si="3"/>
        <v>0.15529953917050693</v>
      </c>
      <c r="U13" s="64">
        <f t="shared" si="1"/>
        <v>0.1596735878767474</v>
      </c>
      <c r="V13" s="35">
        <v>10</v>
      </c>
      <c r="W13" s="239">
        <f t="shared" si="38"/>
        <v>0.13225000000000001</v>
      </c>
      <c r="X13" s="64">
        <f t="shared" ref="X13" si="49">T13*AC13</f>
        <v>6.7400000000000002E-2</v>
      </c>
      <c r="Y13" s="64">
        <f t="shared" ref="Y13" si="50">U13*AC13</f>
        <v>6.9298337138508373E-2</v>
      </c>
      <c r="Z13" s="202">
        <f t="shared" ref="Z13" si="51">V13*AC13</f>
        <v>4.34</v>
      </c>
      <c r="AA13" s="64">
        <f t="shared" ref="AA13" si="52">W13*AC13</f>
        <v>5.7396500000000003E-2</v>
      </c>
      <c r="AB13" s="32" t="s">
        <v>445</v>
      </c>
      <c r="AC13" s="233">
        <v>0.434</v>
      </c>
    </row>
    <row r="14" spans="2:31" ht="91.8" customHeight="1" x14ac:dyDescent="0.3">
      <c r="B14" s="175" t="s">
        <v>42</v>
      </c>
      <c r="C14" s="3">
        <v>1.5</v>
      </c>
      <c r="D14" s="159">
        <f t="shared" ref="D14:D26" si="53">$C14/$AC14</f>
        <v>2.6315789473684212</v>
      </c>
      <c r="E14" s="5" t="s">
        <v>1190</v>
      </c>
      <c r="F14" s="5" t="s">
        <v>1191</v>
      </c>
      <c r="G14" s="21" t="s">
        <v>45</v>
      </c>
      <c r="H14" s="4" t="s">
        <v>46</v>
      </c>
      <c r="I14" s="4" t="s">
        <v>46</v>
      </c>
      <c r="J14" s="5" t="s">
        <v>1444</v>
      </c>
      <c r="K14" s="5" t="s">
        <v>47</v>
      </c>
      <c r="L14" s="5" t="s">
        <v>48</v>
      </c>
      <c r="M14" s="5" t="s">
        <v>49</v>
      </c>
      <c r="N14" s="5">
        <v>14000</v>
      </c>
      <c r="O14" s="5">
        <f t="shared" ref="O14:O41" si="54">$N14*$AC14</f>
        <v>7979.9999999999991</v>
      </c>
      <c r="P14" s="5" t="s">
        <v>446</v>
      </c>
      <c r="Q14" s="279" t="s">
        <v>50</v>
      </c>
      <c r="R14" s="5" t="s">
        <v>447</v>
      </c>
      <c r="S14" s="5" t="s">
        <v>1450</v>
      </c>
      <c r="T14" s="22">
        <f>0.0674/AC14</f>
        <v>0.11824561403508774</v>
      </c>
      <c r="U14" s="270">
        <f>$N14*34%/(8760*90%*15)+$T14</f>
        <v>0.15849590999314625</v>
      </c>
      <c r="V14">
        <f>3.6%*$N14</f>
        <v>504.00000000000006</v>
      </c>
      <c r="W14" s="6">
        <f>15/60/55%*0.0674+$V14*0.4/80</f>
        <v>2.550636363636364</v>
      </c>
      <c r="X14" s="22">
        <f>T14*AC14</f>
        <v>6.7400000000000002E-2</v>
      </c>
      <c r="Y14" s="160">
        <f>U14*AC14</f>
        <v>9.0342668696093351E-2</v>
      </c>
      <c r="Z14">
        <f>V14*AC14</f>
        <v>287.28000000000003</v>
      </c>
      <c r="AA14" s="6">
        <f>W14*AC14</f>
        <v>1.4538627272727274</v>
      </c>
      <c r="AB14" t="s">
        <v>448</v>
      </c>
      <c r="AC14" s="14">
        <v>0.56999999999999995</v>
      </c>
    </row>
    <row r="15" spans="2:31" ht="72" x14ac:dyDescent="0.3">
      <c r="B15" s="175" t="s">
        <v>42</v>
      </c>
      <c r="C15" s="3">
        <v>50</v>
      </c>
      <c r="D15" s="159">
        <f t="shared" si="53"/>
        <v>94.339622641509436</v>
      </c>
      <c r="E15" s="5" t="s">
        <v>1192</v>
      </c>
      <c r="F15" s="5" t="s">
        <v>1193</v>
      </c>
      <c r="G15" s="21" t="s">
        <v>45</v>
      </c>
      <c r="H15" s="4" t="s">
        <v>46</v>
      </c>
      <c r="I15" s="4" t="s">
        <v>46</v>
      </c>
      <c r="J15" s="5" t="s">
        <v>1444</v>
      </c>
      <c r="K15" s="5" t="s">
        <v>47</v>
      </c>
      <c r="L15" s="5" t="s">
        <v>48</v>
      </c>
      <c r="M15" s="5" t="s">
        <v>49</v>
      </c>
      <c r="N15" s="5">
        <v>10000</v>
      </c>
      <c r="O15" s="5">
        <f t="shared" si="54"/>
        <v>5300</v>
      </c>
      <c r="P15" s="5" t="s">
        <v>449</v>
      </c>
      <c r="Q15" s="279"/>
      <c r="R15" s="5" t="s">
        <v>447</v>
      </c>
      <c r="S15" s="5" t="s">
        <v>1450</v>
      </c>
      <c r="T15" s="22">
        <f t="shared" ref="T15:T16" si="55">0.0674/AC15</f>
        <v>0.12716981132075472</v>
      </c>
      <c r="U15" s="270">
        <f>$N15*34%/(8760*90%*15)+$T15</f>
        <v>0.15592002271936795</v>
      </c>
      <c r="V15">
        <f>3.6%*$N15</f>
        <v>360.00000000000006</v>
      </c>
      <c r="W15" s="6">
        <f t="shared" ref="W15:W16" si="56">15/60/55%*0.0674+$V15*0.4/80</f>
        <v>1.8306363636363638</v>
      </c>
      <c r="X15" s="22">
        <f t="shared" ref="X15:X62" si="57">T15*AC15</f>
        <v>6.7400000000000002E-2</v>
      </c>
      <c r="Y15" s="160">
        <f t="shared" ref="Y15:Y62" si="58">U15*AC15</f>
        <v>8.2637612041265018E-2</v>
      </c>
      <c r="Z15">
        <f t="shared" ref="Z15:Z62" si="59">V15*AC15</f>
        <v>190.80000000000004</v>
      </c>
      <c r="AA15" s="6">
        <f t="shared" ref="AA15:AA62" si="60">W15*AC15</f>
        <v>0.97023727272727289</v>
      </c>
      <c r="AB15" t="s">
        <v>448</v>
      </c>
      <c r="AC15" s="14">
        <v>0.53</v>
      </c>
    </row>
    <row r="16" spans="2:31" ht="72" x14ac:dyDescent="0.3">
      <c r="B16" s="54" t="s">
        <v>42</v>
      </c>
      <c r="C16" s="30">
        <v>500</v>
      </c>
      <c r="D16" s="176">
        <f t="shared" si="53"/>
        <v>943.39622641509425</v>
      </c>
      <c r="E16" s="32" t="s">
        <v>1194</v>
      </c>
      <c r="F16" s="32" t="s">
        <v>1195</v>
      </c>
      <c r="G16" s="43" t="s">
        <v>45</v>
      </c>
      <c r="H16" s="34" t="s">
        <v>46</v>
      </c>
      <c r="I16" s="34" t="s">
        <v>46</v>
      </c>
      <c r="J16" s="32" t="s">
        <v>1444</v>
      </c>
      <c r="K16" s="32" t="s">
        <v>47</v>
      </c>
      <c r="L16" s="32" t="s">
        <v>48</v>
      </c>
      <c r="M16" s="32" t="s">
        <v>49</v>
      </c>
      <c r="N16" s="32">
        <v>5000</v>
      </c>
      <c r="O16" s="32">
        <f t="shared" si="54"/>
        <v>2650</v>
      </c>
      <c r="P16" s="32" t="s">
        <v>450</v>
      </c>
      <c r="Q16" s="280"/>
      <c r="R16" s="32" t="s">
        <v>447</v>
      </c>
      <c r="S16" s="32" t="s">
        <v>1450</v>
      </c>
      <c r="T16" s="44">
        <f t="shared" si="55"/>
        <v>0.12716981132075472</v>
      </c>
      <c r="U16" s="271">
        <f>$N16*34%/(8760*90%*15)+$T16</f>
        <v>0.14154491702006133</v>
      </c>
      <c r="V16" s="35">
        <f>3.6%*$N16</f>
        <v>180.00000000000003</v>
      </c>
      <c r="W16" s="6">
        <f t="shared" si="56"/>
        <v>0.93063636363636382</v>
      </c>
      <c r="X16" s="44">
        <f t="shared" si="57"/>
        <v>6.7400000000000002E-2</v>
      </c>
      <c r="Y16" s="177">
        <f t="shared" si="58"/>
        <v>7.5018806020632517E-2</v>
      </c>
      <c r="Z16" s="35">
        <f t="shared" si="59"/>
        <v>95.40000000000002</v>
      </c>
      <c r="AA16" s="41">
        <f t="shared" si="60"/>
        <v>0.49323727272727286</v>
      </c>
      <c r="AB16" s="35" t="s">
        <v>448</v>
      </c>
      <c r="AC16" s="42">
        <v>0.53</v>
      </c>
    </row>
    <row r="17" spans="2:29" ht="72" x14ac:dyDescent="0.3">
      <c r="B17" s="178" t="s">
        <v>128</v>
      </c>
      <c r="C17" s="179">
        <v>5</v>
      </c>
      <c r="D17" s="180">
        <f t="shared" si="53"/>
        <v>11.904761904761905</v>
      </c>
      <c r="E17" s="181" t="s">
        <v>1196</v>
      </c>
      <c r="F17" s="181" t="s">
        <v>1197</v>
      </c>
      <c r="G17" s="182" t="s">
        <v>45</v>
      </c>
      <c r="H17" s="183" t="s">
        <v>131</v>
      </c>
      <c r="I17" s="183" t="s">
        <v>131</v>
      </c>
      <c r="J17" s="181" t="s">
        <v>1451</v>
      </c>
      <c r="K17" s="181" t="s">
        <v>132</v>
      </c>
      <c r="L17" s="181" t="s">
        <v>133</v>
      </c>
      <c r="M17" s="181" t="s">
        <v>1452</v>
      </c>
      <c r="N17" s="181">
        <v>13000</v>
      </c>
      <c r="O17" s="181">
        <f t="shared" si="54"/>
        <v>5460</v>
      </c>
      <c r="P17" s="181" t="s">
        <v>1446</v>
      </c>
      <c r="Q17" s="276" t="s">
        <v>134</v>
      </c>
      <c r="R17" s="181" t="s">
        <v>135</v>
      </c>
      <c r="S17" s="181" t="s">
        <v>1453</v>
      </c>
      <c r="T17" s="184" t="s">
        <v>1650</v>
      </c>
      <c r="U17" s="272">
        <f>$N17*79%/(8760*92%*20)</f>
        <v>6.3716001588246973E-2</v>
      </c>
      <c r="V17" s="186">
        <f>5%*$N17</f>
        <v>650</v>
      </c>
      <c r="W17" s="187">
        <f>0.5/60/45%*0+$V17*0.35/80</f>
        <v>2.8437499999999996</v>
      </c>
      <c r="X17" s="188" t="s">
        <v>994</v>
      </c>
      <c r="Y17" s="185">
        <f t="shared" si="58"/>
        <v>2.6760720667063729E-2</v>
      </c>
      <c r="Z17" s="186">
        <f t="shared" si="59"/>
        <v>273</v>
      </c>
      <c r="AA17" s="187">
        <f t="shared" si="60"/>
        <v>1.1943749999999997</v>
      </c>
      <c r="AB17" s="186" t="s">
        <v>1454</v>
      </c>
      <c r="AC17" s="189">
        <v>0.42</v>
      </c>
    </row>
    <row r="18" spans="2:29" ht="115.2" x14ac:dyDescent="0.3">
      <c r="B18" s="58" t="s">
        <v>128</v>
      </c>
      <c r="C18" s="30">
        <v>120</v>
      </c>
      <c r="D18" s="176">
        <f t="shared" si="53"/>
        <v>266.66666666666669</v>
      </c>
      <c r="E18" s="32" t="s">
        <v>1198</v>
      </c>
      <c r="F18" s="32" t="s">
        <v>1199</v>
      </c>
      <c r="G18" s="43" t="s">
        <v>45</v>
      </c>
      <c r="H18" s="57" t="s">
        <v>131</v>
      </c>
      <c r="I18" s="57" t="s">
        <v>131</v>
      </c>
      <c r="J18" s="32" t="s">
        <v>1451</v>
      </c>
      <c r="K18" s="32" t="s">
        <v>138</v>
      </c>
      <c r="L18" s="32" t="s">
        <v>133</v>
      </c>
      <c r="M18" s="32" t="s">
        <v>139</v>
      </c>
      <c r="N18" s="32">
        <v>7000</v>
      </c>
      <c r="O18" s="32">
        <f t="shared" si="54"/>
        <v>3150</v>
      </c>
      <c r="P18" s="32" t="s">
        <v>1464</v>
      </c>
      <c r="Q18" s="278"/>
      <c r="R18" s="32" t="s">
        <v>135</v>
      </c>
      <c r="S18" s="32" t="s">
        <v>1453</v>
      </c>
      <c r="T18" s="34" t="s">
        <v>993</v>
      </c>
      <c r="U18" s="271">
        <f>$N18*79%/(8760*92%*20)</f>
        <v>3.4308616239825292E-2</v>
      </c>
      <c r="V18" s="35">
        <f>5%*$N18</f>
        <v>350</v>
      </c>
      <c r="W18" s="41">
        <f>0.5/60/45%*0+$V18*0.35/80</f>
        <v>1.5312499999999998</v>
      </c>
      <c r="X18" s="44" t="s">
        <v>994</v>
      </c>
      <c r="Y18" s="177">
        <f t="shared" si="58"/>
        <v>1.5438877307921381E-2</v>
      </c>
      <c r="Z18" s="35">
        <f t="shared" si="59"/>
        <v>157.5</v>
      </c>
      <c r="AA18" s="41">
        <f t="shared" si="60"/>
        <v>0.68906249999999991</v>
      </c>
      <c r="AB18" s="35" t="s">
        <v>1454</v>
      </c>
      <c r="AC18" s="42">
        <v>0.45</v>
      </c>
    </row>
    <row r="19" spans="2:29" ht="57.6" x14ac:dyDescent="0.3">
      <c r="B19" s="190" t="s">
        <v>157</v>
      </c>
      <c r="C19" s="3">
        <v>10</v>
      </c>
      <c r="D19" s="159">
        <f t="shared" si="53"/>
        <v>10.2880658436214</v>
      </c>
      <c r="E19" s="5" t="s">
        <v>998</v>
      </c>
      <c r="F19" s="5" t="s">
        <v>999</v>
      </c>
      <c r="G19" s="21" t="s">
        <v>45</v>
      </c>
      <c r="H19" s="5" t="s">
        <v>152</v>
      </c>
      <c r="I19" s="5" t="s">
        <v>152</v>
      </c>
      <c r="J19" s="5" t="s">
        <v>153</v>
      </c>
      <c r="K19" s="5" t="s">
        <v>451</v>
      </c>
      <c r="L19" t="s">
        <v>452</v>
      </c>
      <c r="M19" s="5" t="s">
        <v>1426</v>
      </c>
      <c r="N19">
        <v>1370</v>
      </c>
      <c r="O19" s="193">
        <f t="shared" si="54"/>
        <v>1331.6399999999999</v>
      </c>
      <c r="P19" s="5" t="s">
        <v>25</v>
      </c>
      <c r="Q19" s="277" t="s">
        <v>26</v>
      </c>
      <c r="R19">
        <v>20</v>
      </c>
      <c r="S19" t="s">
        <v>25</v>
      </c>
      <c r="T19" s="12">
        <f>0.0674/AC19</f>
        <v>6.934156378600824E-2</v>
      </c>
      <c r="U19" s="270">
        <f>$N19*21%/(8760*23%*20)+$T19</f>
        <v>7.6481230254144036E-2</v>
      </c>
      <c r="V19" s="11">
        <f t="shared" ref="V19:V26" si="61">$N19*3%</f>
        <v>41.1</v>
      </c>
      <c r="W19" s="22">
        <f>(1/30/0.98*0.0674+$V19*0.3/40)</f>
        <v>0.31054251700680274</v>
      </c>
      <c r="X19" s="22">
        <f t="shared" si="57"/>
        <v>6.7400000000000002E-2</v>
      </c>
      <c r="Y19" s="160">
        <f t="shared" si="58"/>
        <v>7.4339755807028007E-2</v>
      </c>
      <c r="Z19" s="6">
        <f t="shared" si="59"/>
        <v>39.949199999999998</v>
      </c>
      <c r="AA19" s="6">
        <f t="shared" si="60"/>
        <v>0.30184732653061225</v>
      </c>
      <c r="AB19" s="5" t="s">
        <v>154</v>
      </c>
      <c r="AC19" s="232">
        <v>0.97199999999999998</v>
      </c>
    </row>
    <row r="20" spans="2:29" ht="57.6" x14ac:dyDescent="0.3">
      <c r="B20" s="61" t="s">
        <v>157</v>
      </c>
      <c r="C20" s="3">
        <v>20</v>
      </c>
      <c r="D20" s="159">
        <f t="shared" si="53"/>
        <v>20.491803278688526</v>
      </c>
      <c r="E20" s="5" t="s">
        <v>1000</v>
      </c>
      <c r="F20" s="5" t="s">
        <v>1001</v>
      </c>
      <c r="G20" s="21" t="s">
        <v>45</v>
      </c>
      <c r="H20" s="5" t="s">
        <v>152</v>
      </c>
      <c r="I20" s="5" t="s">
        <v>152</v>
      </c>
      <c r="J20" s="5" t="s">
        <v>153</v>
      </c>
      <c r="K20" s="5" t="s">
        <v>451</v>
      </c>
      <c r="L20" t="s">
        <v>452</v>
      </c>
      <c r="M20" s="5" t="s">
        <v>1426</v>
      </c>
      <c r="N20">
        <v>910</v>
      </c>
      <c r="O20" s="193">
        <f t="shared" si="54"/>
        <v>888.16</v>
      </c>
      <c r="P20" s="5" t="s">
        <v>25</v>
      </c>
      <c r="Q20" s="277"/>
      <c r="R20">
        <v>20</v>
      </c>
      <c r="S20" t="s">
        <v>25</v>
      </c>
      <c r="T20" s="12">
        <f t="shared" ref="T20:T26" si="62">0.0674/AC20</f>
        <v>6.905737704918033E-2</v>
      </c>
      <c r="U20" s="270">
        <f>$N20*21%/(8760*23%*20)+$T20</f>
        <v>7.379978324334352E-2</v>
      </c>
      <c r="V20" s="11">
        <f t="shared" si="61"/>
        <v>27.3</v>
      </c>
      <c r="W20" s="22">
        <f>(1/30/0.98*0.0674+$V20*0.3/40)</f>
        <v>0.20704251700680271</v>
      </c>
      <c r="X20" s="22">
        <f t="shared" si="57"/>
        <v>6.7400000000000002E-2</v>
      </c>
      <c r="Y20" s="160">
        <f t="shared" si="58"/>
        <v>7.2028588445503278E-2</v>
      </c>
      <c r="Z20" s="6">
        <f t="shared" si="59"/>
        <v>26.6448</v>
      </c>
      <c r="AA20" s="6">
        <f t="shared" si="60"/>
        <v>0.20207349659863943</v>
      </c>
      <c r="AB20" s="5" t="s">
        <v>154</v>
      </c>
      <c r="AC20" s="232">
        <v>0.97599999999999998</v>
      </c>
    </row>
    <row r="21" spans="2:29" ht="57.6" x14ac:dyDescent="0.3">
      <c r="B21" s="61" t="s">
        <v>157</v>
      </c>
      <c r="C21" s="3">
        <v>30</v>
      </c>
      <c r="D21" s="159">
        <f t="shared" si="53"/>
        <v>30.737704918032787</v>
      </c>
      <c r="E21" s="5" t="s">
        <v>1002</v>
      </c>
      <c r="F21" s="5" t="s">
        <v>1003</v>
      </c>
      <c r="G21" s="21" t="s">
        <v>45</v>
      </c>
      <c r="H21" s="5" t="s">
        <v>152</v>
      </c>
      <c r="I21" s="5" t="s">
        <v>152</v>
      </c>
      <c r="J21" s="5" t="s">
        <v>153</v>
      </c>
      <c r="K21" s="5" t="s">
        <v>451</v>
      </c>
      <c r="L21" t="s">
        <v>452</v>
      </c>
      <c r="M21" s="5" t="s">
        <v>1426</v>
      </c>
      <c r="N21">
        <v>700</v>
      </c>
      <c r="O21" s="193">
        <f t="shared" si="54"/>
        <v>683.19999999999993</v>
      </c>
      <c r="P21" s="5" t="s">
        <v>25</v>
      </c>
      <c r="Q21" s="277"/>
      <c r="R21">
        <v>20</v>
      </c>
      <c r="S21" t="s">
        <v>25</v>
      </c>
      <c r="T21" s="12">
        <f t="shared" si="62"/>
        <v>6.905737704918033E-2</v>
      </c>
      <c r="U21" s="270">
        <f>$N21*21%/(8760*23%*20)+$T21</f>
        <v>7.2705381813921249E-2</v>
      </c>
      <c r="V21" s="11">
        <f t="shared" si="61"/>
        <v>21</v>
      </c>
      <c r="W21" s="22">
        <f t="shared" ref="W21:W22" si="63">(1/30/0.98*0.0674+$V21*0.3/40)</f>
        <v>0.15979251700680272</v>
      </c>
      <c r="X21" s="22">
        <f t="shared" si="57"/>
        <v>6.7400000000000002E-2</v>
      </c>
      <c r="Y21" s="160">
        <f t="shared" si="58"/>
        <v>7.096045265038714E-2</v>
      </c>
      <c r="Z21" s="6">
        <f t="shared" si="59"/>
        <v>20.495999999999999</v>
      </c>
      <c r="AA21" s="6">
        <f t="shared" si="60"/>
        <v>0.15595749659863944</v>
      </c>
      <c r="AB21" s="5" t="s">
        <v>154</v>
      </c>
      <c r="AC21" s="232">
        <v>0.97599999999999998</v>
      </c>
    </row>
    <row r="22" spans="2:29" ht="57.6" x14ac:dyDescent="0.3">
      <c r="B22" s="61" t="s">
        <v>157</v>
      </c>
      <c r="C22" s="3">
        <v>60</v>
      </c>
      <c r="D22" s="159">
        <f t="shared" si="53"/>
        <v>61.412487205731836</v>
      </c>
      <c r="E22" s="5" t="s">
        <v>1004</v>
      </c>
      <c r="F22" s="5" t="s">
        <v>1005</v>
      </c>
      <c r="G22" s="21" t="s">
        <v>45</v>
      </c>
      <c r="H22" s="5" t="s">
        <v>152</v>
      </c>
      <c r="I22" s="5" t="s">
        <v>152</v>
      </c>
      <c r="J22" s="5" t="s">
        <v>153</v>
      </c>
      <c r="K22" s="5" t="s">
        <v>451</v>
      </c>
      <c r="L22" t="s">
        <v>452</v>
      </c>
      <c r="M22" s="5" t="s">
        <v>1426</v>
      </c>
      <c r="N22">
        <v>510</v>
      </c>
      <c r="O22" s="193">
        <f t="shared" si="54"/>
        <v>498.27</v>
      </c>
      <c r="P22" s="5" t="s">
        <v>25</v>
      </c>
      <c r="Q22" s="277"/>
      <c r="R22">
        <v>20</v>
      </c>
      <c r="S22" t="s">
        <v>25</v>
      </c>
      <c r="T22" s="12">
        <f t="shared" si="62"/>
        <v>6.8986693961105433E-2</v>
      </c>
      <c r="U22" s="270">
        <f>$N22*21%/(8760*23%*20)+$T22</f>
        <v>7.1644526003988102E-2</v>
      </c>
      <c r="V22" s="11">
        <f t="shared" si="61"/>
        <v>15.299999999999999</v>
      </c>
      <c r="W22" s="22">
        <f t="shared" si="63"/>
        <v>0.11704251700680271</v>
      </c>
      <c r="X22" s="22">
        <f t="shared" si="57"/>
        <v>6.7400000000000002E-2</v>
      </c>
      <c r="Y22" s="160">
        <f t="shared" si="58"/>
        <v>6.999670190589638E-2</v>
      </c>
      <c r="Z22" s="6">
        <f t="shared" si="59"/>
        <v>14.948099999999998</v>
      </c>
      <c r="AA22" s="6">
        <f t="shared" si="60"/>
        <v>0.11435053911564624</v>
      </c>
      <c r="AB22" s="5" t="s">
        <v>154</v>
      </c>
      <c r="AC22" s="232">
        <v>0.97699999999999998</v>
      </c>
    </row>
    <row r="23" spans="2:29" ht="57.6" x14ac:dyDescent="0.3">
      <c r="B23" s="169" t="s">
        <v>157</v>
      </c>
      <c r="C23" s="3">
        <v>100</v>
      </c>
      <c r="D23" s="159">
        <f t="shared" si="53"/>
        <v>101.6260162601626</v>
      </c>
      <c r="E23" s="5" t="s">
        <v>1006</v>
      </c>
      <c r="F23" s="5" t="s">
        <v>1007</v>
      </c>
      <c r="G23" s="21" t="s">
        <v>45</v>
      </c>
      <c r="H23" s="5" t="s">
        <v>152</v>
      </c>
      <c r="I23" s="5" t="s">
        <v>152</v>
      </c>
      <c r="J23" s="5" t="s">
        <v>153</v>
      </c>
      <c r="K23" s="5" t="s">
        <v>451</v>
      </c>
      <c r="L23" t="s">
        <v>452</v>
      </c>
      <c r="M23" s="5" t="s">
        <v>1426</v>
      </c>
      <c r="N23">
        <v>390</v>
      </c>
      <c r="O23" s="193">
        <f t="shared" si="54"/>
        <v>383.76</v>
      </c>
      <c r="P23" s="5" t="s">
        <v>25</v>
      </c>
      <c r="Q23" s="277"/>
      <c r="R23">
        <v>20</v>
      </c>
      <c r="S23" t="s">
        <v>25</v>
      </c>
      <c r="T23" s="12">
        <f t="shared" si="62"/>
        <v>6.8495934959349594E-2</v>
      </c>
      <c r="U23" s="270">
        <f>$N23*21%/(8760*23%*20)+$T23</f>
        <v>7.0528394756848106E-2</v>
      </c>
      <c r="V23" s="11">
        <f t="shared" si="61"/>
        <v>11.7</v>
      </c>
      <c r="W23" s="22">
        <f>(1/30/1.05*0.0674+$V23*0.3/40)</f>
        <v>8.9889682539682533E-2</v>
      </c>
      <c r="X23" s="22">
        <f t="shared" si="57"/>
        <v>6.7400000000000002E-2</v>
      </c>
      <c r="Y23" s="160">
        <f t="shared" si="58"/>
        <v>6.9399940440738536E-2</v>
      </c>
      <c r="Z23" s="6">
        <f t="shared" si="59"/>
        <v>11.512799999999999</v>
      </c>
      <c r="AA23" s="13">
        <f t="shared" si="60"/>
        <v>8.8451447619047607E-2</v>
      </c>
      <c r="AB23" s="5" t="s">
        <v>154</v>
      </c>
      <c r="AC23" s="232">
        <v>0.98399999999999999</v>
      </c>
    </row>
    <row r="24" spans="2:29" ht="57.6" x14ac:dyDescent="0.3">
      <c r="B24" s="62" t="s">
        <v>987</v>
      </c>
      <c r="C24" s="3">
        <v>500</v>
      </c>
      <c r="D24" s="159">
        <f t="shared" si="53"/>
        <v>474.83380816714151</v>
      </c>
      <c r="E24" s="5" t="s">
        <v>1008</v>
      </c>
      <c r="F24" s="5" t="s">
        <v>1009</v>
      </c>
      <c r="G24" s="21" t="s">
        <v>45</v>
      </c>
      <c r="H24" s="5" t="s">
        <v>1897</v>
      </c>
      <c r="I24" s="5" t="s">
        <v>1897</v>
      </c>
      <c r="J24" s="5" t="s">
        <v>153</v>
      </c>
      <c r="K24" s="5" t="s">
        <v>155</v>
      </c>
      <c r="L24" t="s">
        <v>156</v>
      </c>
      <c r="M24" s="5" t="s">
        <v>1440</v>
      </c>
      <c r="N24">
        <v>138</v>
      </c>
      <c r="O24" s="193">
        <f t="shared" si="54"/>
        <v>145.31399999999999</v>
      </c>
      <c r="P24" s="5" t="s">
        <v>25</v>
      </c>
      <c r="Q24" s="277"/>
      <c r="R24">
        <v>25</v>
      </c>
      <c r="S24" t="s">
        <v>25</v>
      </c>
      <c r="T24" s="12">
        <f t="shared" si="62"/>
        <v>6.4007597340930686E-2</v>
      </c>
      <c r="U24" s="270">
        <f>$N24*21%/(8760*90%*25)+$T24</f>
        <v>6.4154629304401009E-2</v>
      </c>
      <c r="V24" s="11">
        <f t="shared" si="61"/>
        <v>4.1399999999999997</v>
      </c>
      <c r="W24" s="22">
        <f>(1/0.95*0.0674+$V24*0.3/40)</f>
        <v>0.10199736842105263</v>
      </c>
      <c r="X24" s="22">
        <f t="shared" si="57"/>
        <v>6.7400000000000002E-2</v>
      </c>
      <c r="Y24" s="160">
        <f t="shared" si="58"/>
        <v>6.7554824657534263E-2</v>
      </c>
      <c r="Z24" s="6">
        <f t="shared" si="59"/>
        <v>4.3594199999999992</v>
      </c>
      <c r="AA24" s="13">
        <f t="shared" si="60"/>
        <v>0.10740322894736841</v>
      </c>
      <c r="AB24" s="5" t="s">
        <v>154</v>
      </c>
      <c r="AC24" s="232">
        <v>1.0529999999999999</v>
      </c>
    </row>
    <row r="25" spans="2:29" ht="57.6" x14ac:dyDescent="0.3">
      <c r="B25" s="62" t="s">
        <v>158</v>
      </c>
      <c r="C25" s="3">
        <v>10000</v>
      </c>
      <c r="D25" s="159">
        <f t="shared" si="53"/>
        <v>10559.662090813095</v>
      </c>
      <c r="E25" s="5" t="s">
        <v>1010</v>
      </c>
      <c r="F25" s="5" t="s">
        <v>1011</v>
      </c>
      <c r="G25" s="21" t="s">
        <v>45</v>
      </c>
      <c r="H25" s="5" t="s">
        <v>1897</v>
      </c>
      <c r="I25" s="5" t="s">
        <v>1897</v>
      </c>
      <c r="J25" s="5" t="s">
        <v>153</v>
      </c>
      <c r="K25" s="5" t="s">
        <v>155</v>
      </c>
      <c r="L25" t="s">
        <v>156</v>
      </c>
      <c r="M25" s="5" t="s">
        <v>1440</v>
      </c>
      <c r="N25">
        <v>59</v>
      </c>
      <c r="O25" s="193">
        <f t="shared" si="54"/>
        <v>55.872999999999998</v>
      </c>
      <c r="P25" s="5" t="s">
        <v>25</v>
      </c>
      <c r="Q25" s="277"/>
      <c r="R25">
        <v>25</v>
      </c>
      <c r="S25" t="s">
        <v>25</v>
      </c>
      <c r="T25" s="12">
        <f t="shared" si="62"/>
        <v>7.1172122492080256E-2</v>
      </c>
      <c r="U25" s="270">
        <f>$N25*21%/(8760*90%*25)+$T25</f>
        <v>7.1234983983708866E-2</v>
      </c>
      <c r="V25" s="11">
        <f t="shared" si="61"/>
        <v>1.77</v>
      </c>
      <c r="W25" s="22">
        <f>(1/0.95*0.0674+$V25*0.3/40)</f>
        <v>8.4222368421052629E-2</v>
      </c>
      <c r="X25" s="22">
        <f t="shared" si="57"/>
        <v>6.7400000000000002E-2</v>
      </c>
      <c r="Y25" s="160">
        <f t="shared" si="58"/>
        <v>6.7459529832572293E-2</v>
      </c>
      <c r="Z25" s="6">
        <f t="shared" si="59"/>
        <v>1.6761899999999998</v>
      </c>
      <c r="AA25" s="13">
        <f t="shared" si="60"/>
        <v>7.9758582894736835E-2</v>
      </c>
      <c r="AB25" s="5" t="s">
        <v>154</v>
      </c>
      <c r="AC25" s="232">
        <v>0.94699999999999995</v>
      </c>
    </row>
    <row r="26" spans="2:29" ht="57.6" x14ac:dyDescent="0.3">
      <c r="B26" s="63" t="s">
        <v>158</v>
      </c>
      <c r="C26" s="30">
        <v>30000</v>
      </c>
      <c r="D26" s="176">
        <f t="shared" si="53"/>
        <v>31678.986272439284</v>
      </c>
      <c r="E26" s="32" t="s">
        <v>1012</v>
      </c>
      <c r="F26" s="32" t="s">
        <v>1013</v>
      </c>
      <c r="G26" s="43" t="s">
        <v>45</v>
      </c>
      <c r="H26" s="32" t="s">
        <v>1897</v>
      </c>
      <c r="I26" s="32" t="s">
        <v>1897</v>
      </c>
      <c r="J26" s="32" t="s">
        <v>153</v>
      </c>
      <c r="K26" s="32" t="s">
        <v>155</v>
      </c>
      <c r="L26" s="35" t="s">
        <v>156</v>
      </c>
      <c r="M26" s="32" t="s">
        <v>1440</v>
      </c>
      <c r="N26" s="35">
        <v>44</v>
      </c>
      <c r="O26" s="194">
        <f t="shared" si="54"/>
        <v>41.667999999999999</v>
      </c>
      <c r="P26" s="32" t="s">
        <v>25</v>
      </c>
      <c r="Q26" s="278"/>
      <c r="R26" s="35">
        <v>25</v>
      </c>
      <c r="S26" s="35" t="s">
        <v>25</v>
      </c>
      <c r="T26" s="164">
        <f t="shared" si="62"/>
        <v>7.1172122492080256E-2</v>
      </c>
      <c r="U26" s="271">
        <f>$N26*21%/(8760*90%*25)+$T26</f>
        <v>7.121900224854906E-2</v>
      </c>
      <c r="V26" s="60">
        <f t="shared" si="61"/>
        <v>1.3199999999999998</v>
      </c>
      <c r="W26" s="44">
        <f>(1/0.95*0.0674+$V26*0.3/40)</f>
        <v>8.084736842105264E-2</v>
      </c>
      <c r="X26" s="44">
        <f t="shared" si="57"/>
        <v>6.7400000000000002E-2</v>
      </c>
      <c r="Y26" s="177">
        <f t="shared" si="58"/>
        <v>6.7444395129375959E-2</v>
      </c>
      <c r="Z26" s="35">
        <f t="shared" si="59"/>
        <v>1.2500399999999998</v>
      </c>
      <c r="AA26" s="64">
        <f t="shared" si="60"/>
        <v>7.6562457894736841E-2</v>
      </c>
      <c r="AB26" s="32" t="s">
        <v>154</v>
      </c>
      <c r="AC26" s="233">
        <v>0.94699999999999995</v>
      </c>
    </row>
    <row r="27" spans="2:29" ht="57.6" x14ac:dyDescent="0.3">
      <c r="B27" s="72" t="s">
        <v>1200</v>
      </c>
      <c r="C27" s="179">
        <v>5</v>
      </c>
      <c r="D27" s="180">
        <f t="shared" ref="D27:D56" si="64">C27/AC27</f>
        <v>1.4925373134328357</v>
      </c>
      <c r="E27" s="5" t="s">
        <v>1114</v>
      </c>
      <c r="F27" s="5" t="s">
        <v>1115</v>
      </c>
      <c r="G27" s="182" t="s">
        <v>45</v>
      </c>
      <c r="H27" s="186">
        <v>10</v>
      </c>
      <c r="I27" s="186">
        <v>10</v>
      </c>
      <c r="J27" s="186" t="s">
        <v>1392</v>
      </c>
      <c r="K27" s="195" t="s">
        <v>186</v>
      </c>
      <c r="L27" s="195" t="s">
        <v>187</v>
      </c>
      <c r="M27" s="195" t="s">
        <v>1466</v>
      </c>
      <c r="N27" s="196">
        <v>3960</v>
      </c>
      <c r="O27" s="196">
        <f t="shared" si="54"/>
        <v>13266</v>
      </c>
      <c r="P27" s="181" t="s">
        <v>25</v>
      </c>
      <c r="Q27" s="276" t="s">
        <v>188</v>
      </c>
      <c r="R27" s="186">
        <v>20</v>
      </c>
      <c r="S27" s="181" t="s">
        <v>25</v>
      </c>
      <c r="T27" s="200">
        <f>0.2872/AC27</f>
        <v>8.573134328358209E-2</v>
      </c>
      <c r="U27" s="197">
        <f>$N27*51%/(8760*34%*20)+$T27</f>
        <v>0.11963545287262319</v>
      </c>
      <c r="V27" s="198">
        <f>70</f>
        <v>70</v>
      </c>
      <c r="W27" s="199">
        <f t="shared" ref="W27:W41" si="65">(4/60/3.3*0.1899+$V27*0.25/35)</f>
        <v>0.50383636363636364</v>
      </c>
      <c r="X27" s="188">
        <f t="shared" si="57"/>
        <v>0.28720000000000001</v>
      </c>
      <c r="Y27" s="185">
        <f t="shared" si="58"/>
        <v>0.40077876712328769</v>
      </c>
      <c r="Z27" s="186">
        <f t="shared" si="59"/>
        <v>234.5</v>
      </c>
      <c r="AA27" s="187">
        <f t="shared" si="60"/>
        <v>1.6878518181818183</v>
      </c>
      <c r="AB27" s="181" t="s">
        <v>189</v>
      </c>
      <c r="AC27" s="192">
        <v>3.35</v>
      </c>
    </row>
    <row r="28" spans="2:29" ht="57.6" x14ac:dyDescent="0.3">
      <c r="B28" s="72" t="s">
        <v>1200</v>
      </c>
      <c r="C28" s="3">
        <v>10</v>
      </c>
      <c r="D28" s="159">
        <f t="shared" si="64"/>
        <v>2.8409090909090908</v>
      </c>
      <c r="E28" s="5" t="s">
        <v>1116</v>
      </c>
      <c r="F28" s="5" t="s">
        <v>1117</v>
      </c>
      <c r="G28" s="21" t="s">
        <v>45</v>
      </c>
      <c r="H28">
        <v>10</v>
      </c>
      <c r="I28">
        <v>10</v>
      </c>
      <c r="J28" t="s">
        <v>1392</v>
      </c>
      <c r="K28" s="8" t="s">
        <v>186</v>
      </c>
      <c r="L28" s="8" t="s">
        <v>187</v>
      </c>
      <c r="M28" s="8" t="s">
        <v>1466</v>
      </c>
      <c r="N28" s="161">
        <v>2920</v>
      </c>
      <c r="O28" s="161">
        <f t="shared" si="54"/>
        <v>10278.4</v>
      </c>
      <c r="P28" s="5" t="s">
        <v>25</v>
      </c>
      <c r="Q28" s="277"/>
      <c r="R28">
        <v>20</v>
      </c>
      <c r="S28" s="5" t="s">
        <v>25</v>
      </c>
      <c r="T28" s="200">
        <f t="shared" ref="T28:T29" si="66">0.2872/AC28</f>
        <v>8.1590909090909089E-2</v>
      </c>
      <c r="U28" s="12">
        <f>$N28*51%/(8760*34%*20)+$T28</f>
        <v>0.1065909090909091</v>
      </c>
      <c r="V28" s="162">
        <f t="shared" ref="V28:V35" si="67">1.5%*$N28</f>
        <v>43.8</v>
      </c>
      <c r="W28" s="163">
        <f t="shared" si="65"/>
        <v>0.31669350649350647</v>
      </c>
      <c r="X28" s="22">
        <f t="shared" si="57"/>
        <v>0.28720000000000001</v>
      </c>
      <c r="Y28" s="160">
        <f t="shared" si="58"/>
        <v>0.37520000000000003</v>
      </c>
      <c r="Z28">
        <f t="shared" si="59"/>
        <v>154.17599999999999</v>
      </c>
      <c r="AA28" s="6">
        <f t="shared" si="60"/>
        <v>1.1147611428571429</v>
      </c>
      <c r="AB28" s="5" t="s">
        <v>189</v>
      </c>
      <c r="AC28" s="11">
        <v>3.52</v>
      </c>
    </row>
    <row r="29" spans="2:29" ht="57.6" x14ac:dyDescent="0.3">
      <c r="B29" s="72" t="s">
        <v>1200</v>
      </c>
      <c r="C29" s="3">
        <v>20</v>
      </c>
      <c r="D29" s="159">
        <f t="shared" si="64"/>
        <v>5.7636887608069163</v>
      </c>
      <c r="E29" s="5" t="s">
        <v>1118</v>
      </c>
      <c r="F29" s="5" t="s">
        <v>1119</v>
      </c>
      <c r="G29" s="21" t="s">
        <v>45</v>
      </c>
      <c r="H29">
        <v>10</v>
      </c>
      <c r="I29">
        <v>10</v>
      </c>
      <c r="J29" t="s">
        <v>1392</v>
      </c>
      <c r="K29" s="8" t="s">
        <v>186</v>
      </c>
      <c r="L29" s="8" t="s">
        <v>187</v>
      </c>
      <c r="M29" s="8" t="s">
        <v>1466</v>
      </c>
      <c r="N29" s="161">
        <v>2310</v>
      </c>
      <c r="O29" s="161">
        <f t="shared" si="54"/>
        <v>8015.7000000000007</v>
      </c>
      <c r="P29" s="5" t="s">
        <v>25</v>
      </c>
      <c r="Q29" s="277"/>
      <c r="R29">
        <v>20</v>
      </c>
      <c r="S29" s="5" t="s">
        <v>25</v>
      </c>
      <c r="T29" s="200">
        <f t="shared" si="66"/>
        <v>8.2766570605187315E-2</v>
      </c>
      <c r="U29" s="12">
        <f>$N29*51%/(8760*34%*20)+$T29</f>
        <v>0.10254396786546129</v>
      </c>
      <c r="V29" s="162">
        <f t="shared" si="67"/>
        <v>34.65</v>
      </c>
      <c r="W29" s="163">
        <f t="shared" si="65"/>
        <v>0.25133636363636364</v>
      </c>
      <c r="X29" s="22">
        <f t="shared" si="57"/>
        <v>0.28720000000000001</v>
      </c>
      <c r="Y29" s="160">
        <f t="shared" si="58"/>
        <v>0.35582756849315067</v>
      </c>
      <c r="Z29">
        <f t="shared" si="59"/>
        <v>120.2355</v>
      </c>
      <c r="AA29" s="6">
        <f t="shared" si="60"/>
        <v>0.87213718181818189</v>
      </c>
      <c r="AB29" s="5" t="s">
        <v>189</v>
      </c>
      <c r="AC29" s="11">
        <v>3.47</v>
      </c>
    </row>
    <row r="30" spans="2:29" ht="57.6" x14ac:dyDescent="0.3">
      <c r="B30" s="72" t="s">
        <v>1200</v>
      </c>
      <c r="C30" s="3">
        <v>30</v>
      </c>
      <c r="D30" s="159">
        <f t="shared" si="64"/>
        <v>8.3565459610027855</v>
      </c>
      <c r="E30" s="5" t="s">
        <v>1120</v>
      </c>
      <c r="F30" s="5" t="s">
        <v>1121</v>
      </c>
      <c r="G30" s="21" t="s">
        <v>45</v>
      </c>
      <c r="H30">
        <v>10</v>
      </c>
      <c r="I30">
        <v>10</v>
      </c>
      <c r="J30" t="s">
        <v>1392</v>
      </c>
      <c r="K30" s="8" t="s">
        <v>186</v>
      </c>
      <c r="L30" s="8" t="s">
        <v>187</v>
      </c>
      <c r="M30" s="8" t="s">
        <v>1466</v>
      </c>
      <c r="N30" s="161">
        <v>2000</v>
      </c>
      <c r="O30" s="161">
        <f t="shared" si="54"/>
        <v>7180</v>
      </c>
      <c r="P30" s="5" t="s">
        <v>25</v>
      </c>
      <c r="Q30" s="277"/>
      <c r="R30">
        <v>20</v>
      </c>
      <c r="S30" s="5" t="s">
        <v>25</v>
      </c>
      <c r="T30" s="200">
        <f>0.1899/AC30</f>
        <v>5.2896935933147635E-2</v>
      </c>
      <c r="U30" s="12">
        <f t="shared" ref="U30:U41" si="68">$N30*51%/(8760*80%*20)+$T30</f>
        <v>6.0174333193421609E-2</v>
      </c>
      <c r="V30" s="162">
        <f t="shared" si="67"/>
        <v>30</v>
      </c>
      <c r="W30" s="163">
        <f t="shared" si="65"/>
        <v>0.21812207792207791</v>
      </c>
      <c r="X30" s="22">
        <f t="shared" si="57"/>
        <v>0.18990000000000001</v>
      </c>
      <c r="Y30" s="160">
        <f t="shared" si="58"/>
        <v>0.21602585616438358</v>
      </c>
      <c r="Z30">
        <f t="shared" si="59"/>
        <v>107.69999999999999</v>
      </c>
      <c r="AA30" s="6">
        <f t="shared" si="60"/>
        <v>0.78305825974025967</v>
      </c>
      <c r="AB30" s="5" t="s">
        <v>189</v>
      </c>
      <c r="AC30" s="11">
        <v>3.59</v>
      </c>
    </row>
    <row r="31" spans="2:29" ht="57.6" x14ac:dyDescent="0.3">
      <c r="B31" s="72" t="s">
        <v>1200</v>
      </c>
      <c r="C31" s="3">
        <v>40</v>
      </c>
      <c r="D31" s="159">
        <f t="shared" si="64"/>
        <v>11.799410029498524</v>
      </c>
      <c r="E31" s="5" t="s">
        <v>1122</v>
      </c>
      <c r="F31" s="5" t="s">
        <v>1123</v>
      </c>
      <c r="G31" s="21" t="s">
        <v>45</v>
      </c>
      <c r="H31">
        <v>10</v>
      </c>
      <c r="I31">
        <v>10</v>
      </c>
      <c r="J31" t="s">
        <v>1392</v>
      </c>
      <c r="K31" s="8" t="s">
        <v>186</v>
      </c>
      <c r="L31" s="8" t="s">
        <v>187</v>
      </c>
      <c r="M31" s="8" t="s">
        <v>1466</v>
      </c>
      <c r="N31" s="161">
        <v>1990</v>
      </c>
      <c r="O31" s="161">
        <f t="shared" si="54"/>
        <v>6746.1</v>
      </c>
      <c r="P31" s="5" t="s">
        <v>25</v>
      </c>
      <c r="Q31" s="277"/>
      <c r="R31">
        <v>20</v>
      </c>
      <c r="S31" s="5" t="s">
        <v>25</v>
      </c>
      <c r="T31" s="200">
        <f t="shared" ref="T31:T41" si="69">0.1899/AC31</f>
        <v>5.6017699115044249E-2</v>
      </c>
      <c r="U31" s="12">
        <f t="shared" si="68"/>
        <v>6.3258709389016857E-2</v>
      </c>
      <c r="V31" s="162">
        <f t="shared" si="67"/>
        <v>29.849999999999998</v>
      </c>
      <c r="W31" s="163">
        <f t="shared" si="65"/>
        <v>0.21705064935064933</v>
      </c>
      <c r="X31" s="22">
        <f t="shared" si="57"/>
        <v>0.18990000000000001</v>
      </c>
      <c r="Y31" s="160">
        <f t="shared" si="58"/>
        <v>0.21444702482876715</v>
      </c>
      <c r="Z31">
        <f t="shared" si="59"/>
        <v>101.19149999999999</v>
      </c>
      <c r="AA31" s="6">
        <f t="shared" si="60"/>
        <v>0.73580170129870126</v>
      </c>
      <c r="AB31" s="5" t="s">
        <v>189</v>
      </c>
      <c r="AC31" s="11">
        <v>3.39</v>
      </c>
    </row>
    <row r="32" spans="2:29" ht="57.6" x14ac:dyDescent="0.3">
      <c r="B32" s="72" t="s">
        <v>1200</v>
      </c>
      <c r="C32" s="3">
        <v>50</v>
      </c>
      <c r="D32" s="159">
        <f t="shared" si="64"/>
        <v>15.337423312883436</v>
      </c>
      <c r="E32" s="5" t="s">
        <v>1124</v>
      </c>
      <c r="F32" s="5" t="s">
        <v>1125</v>
      </c>
      <c r="G32" s="21" t="s">
        <v>45</v>
      </c>
      <c r="H32">
        <v>10</v>
      </c>
      <c r="I32">
        <v>10</v>
      </c>
      <c r="J32" t="s">
        <v>1392</v>
      </c>
      <c r="K32" s="8" t="s">
        <v>186</v>
      </c>
      <c r="L32" s="8" t="s">
        <v>187</v>
      </c>
      <c r="M32" s="8" t="s">
        <v>1466</v>
      </c>
      <c r="N32" s="161">
        <v>1890</v>
      </c>
      <c r="O32" s="161">
        <f t="shared" si="54"/>
        <v>6161.4</v>
      </c>
      <c r="P32" s="5" t="s">
        <v>25</v>
      </c>
      <c r="Q32" s="277"/>
      <c r="R32">
        <v>20</v>
      </c>
      <c r="S32" s="5" t="s">
        <v>25</v>
      </c>
      <c r="T32" s="200">
        <f t="shared" si="69"/>
        <v>5.8251533742331295E-2</v>
      </c>
      <c r="U32" s="12">
        <f t="shared" si="68"/>
        <v>6.5128674153290197E-2</v>
      </c>
      <c r="V32" s="162">
        <f t="shared" si="67"/>
        <v>28.349999999999998</v>
      </c>
      <c r="W32" s="163">
        <f t="shared" si="65"/>
        <v>0.20633636363636362</v>
      </c>
      <c r="X32" s="22">
        <f t="shared" si="57"/>
        <v>0.18990000000000001</v>
      </c>
      <c r="Y32" s="160">
        <f t="shared" si="58"/>
        <v>0.21231947773972604</v>
      </c>
      <c r="Z32">
        <f t="shared" si="59"/>
        <v>92.420999999999992</v>
      </c>
      <c r="AA32" s="6">
        <f t="shared" si="60"/>
        <v>0.67265654545454534</v>
      </c>
      <c r="AB32" s="5" t="s">
        <v>189</v>
      </c>
      <c r="AC32" s="11">
        <v>3.26</v>
      </c>
    </row>
    <row r="33" spans="2:31" ht="57.6" x14ac:dyDescent="0.3">
      <c r="B33" s="72" t="s">
        <v>1200</v>
      </c>
      <c r="C33" s="3">
        <v>60</v>
      </c>
      <c r="D33" s="159">
        <f t="shared" si="64"/>
        <v>19.35483870967742</v>
      </c>
      <c r="E33" s="5" t="s">
        <v>1126</v>
      </c>
      <c r="F33" s="5" t="s">
        <v>1127</v>
      </c>
      <c r="G33" s="21" t="s">
        <v>45</v>
      </c>
      <c r="H33">
        <v>10</v>
      </c>
      <c r="I33">
        <v>10</v>
      </c>
      <c r="J33" t="s">
        <v>1392</v>
      </c>
      <c r="K33" s="8" t="s">
        <v>186</v>
      </c>
      <c r="L33" s="8" t="s">
        <v>187</v>
      </c>
      <c r="M33" s="8" t="s">
        <v>1466</v>
      </c>
      <c r="N33" s="161">
        <v>1800</v>
      </c>
      <c r="O33" s="161">
        <f t="shared" si="54"/>
        <v>5580</v>
      </c>
      <c r="P33" s="5" t="s">
        <v>25</v>
      </c>
      <c r="Q33" s="277"/>
      <c r="R33">
        <v>20</v>
      </c>
      <c r="S33" s="5" t="s">
        <v>25</v>
      </c>
      <c r="T33" s="200">
        <f t="shared" si="69"/>
        <v>6.1258064516129036E-2</v>
      </c>
      <c r="U33" s="12">
        <f t="shared" si="68"/>
        <v>6.7807722050375607E-2</v>
      </c>
      <c r="V33" s="162">
        <f t="shared" si="67"/>
        <v>27</v>
      </c>
      <c r="W33" s="163">
        <f t="shared" si="65"/>
        <v>0.1966935064935065</v>
      </c>
      <c r="X33" s="22">
        <f t="shared" si="57"/>
        <v>0.18990000000000001</v>
      </c>
      <c r="Y33" s="160">
        <f t="shared" si="58"/>
        <v>0.21020393835616438</v>
      </c>
      <c r="Z33">
        <f t="shared" si="59"/>
        <v>83.7</v>
      </c>
      <c r="AA33" s="6">
        <f t="shared" si="60"/>
        <v>0.60974987012987014</v>
      </c>
      <c r="AB33" s="5" t="s">
        <v>189</v>
      </c>
      <c r="AC33" s="11">
        <v>3.1</v>
      </c>
    </row>
    <row r="34" spans="2:31" ht="57.6" x14ac:dyDescent="0.3">
      <c r="B34" s="72" t="s">
        <v>1200</v>
      </c>
      <c r="C34" s="3">
        <v>80</v>
      </c>
      <c r="D34" s="159">
        <f t="shared" si="64"/>
        <v>26.490066225165563</v>
      </c>
      <c r="E34" s="5" t="s">
        <v>1128</v>
      </c>
      <c r="F34" s="5" t="s">
        <v>1129</v>
      </c>
      <c r="G34" s="21" t="s">
        <v>45</v>
      </c>
      <c r="H34">
        <v>10</v>
      </c>
      <c r="I34">
        <v>10</v>
      </c>
      <c r="J34" t="s">
        <v>1392</v>
      </c>
      <c r="K34" s="8" t="s">
        <v>186</v>
      </c>
      <c r="L34" s="8" t="s">
        <v>187</v>
      </c>
      <c r="M34" s="8" t="s">
        <v>1466</v>
      </c>
      <c r="N34" s="161">
        <v>1690</v>
      </c>
      <c r="O34" s="161">
        <f t="shared" si="54"/>
        <v>5103.8</v>
      </c>
      <c r="P34" s="5" t="s">
        <v>25</v>
      </c>
      <c r="Q34" s="277"/>
      <c r="R34">
        <v>20</v>
      </c>
      <c r="S34" s="5" t="s">
        <v>25</v>
      </c>
      <c r="T34" s="200">
        <f t="shared" si="69"/>
        <v>6.2880794701986764E-2</v>
      </c>
      <c r="U34" s="12">
        <f t="shared" si="68"/>
        <v>6.9030195386918264E-2</v>
      </c>
      <c r="V34" s="162">
        <f t="shared" si="67"/>
        <v>25.349999999999998</v>
      </c>
      <c r="W34" s="163">
        <f t="shared" si="65"/>
        <v>0.18490779220779219</v>
      </c>
      <c r="X34" s="22">
        <f t="shared" si="57"/>
        <v>0.18990000000000004</v>
      </c>
      <c r="Y34" s="160">
        <f t="shared" si="58"/>
        <v>0.20847119006849316</v>
      </c>
      <c r="Z34">
        <f t="shared" si="59"/>
        <v>76.556999999999988</v>
      </c>
      <c r="AA34" s="6">
        <f t="shared" si="60"/>
        <v>0.55842153246753246</v>
      </c>
      <c r="AB34" s="5" t="s">
        <v>189</v>
      </c>
      <c r="AC34" s="11">
        <v>3.02</v>
      </c>
    </row>
    <row r="35" spans="2:31" ht="57.6" x14ac:dyDescent="0.3">
      <c r="B35" s="72" t="s">
        <v>1200</v>
      </c>
      <c r="C35" s="3">
        <v>100</v>
      </c>
      <c r="D35" s="159">
        <f t="shared" si="64"/>
        <v>33.898305084745758</v>
      </c>
      <c r="E35" s="5" t="s">
        <v>1130</v>
      </c>
      <c r="F35" s="5" t="s">
        <v>1131</v>
      </c>
      <c r="G35" s="21" t="s">
        <v>45</v>
      </c>
      <c r="H35">
        <v>10</v>
      </c>
      <c r="I35">
        <v>10</v>
      </c>
      <c r="J35" t="s">
        <v>1392</v>
      </c>
      <c r="K35" s="8" t="s">
        <v>186</v>
      </c>
      <c r="L35" s="8" t="s">
        <v>187</v>
      </c>
      <c r="M35" s="8" t="s">
        <v>1466</v>
      </c>
      <c r="N35" s="161">
        <v>1550</v>
      </c>
      <c r="O35" s="161">
        <f t="shared" si="54"/>
        <v>4572.5</v>
      </c>
      <c r="P35" s="5" t="s">
        <v>25</v>
      </c>
      <c r="Q35" s="277"/>
      <c r="R35">
        <v>20</v>
      </c>
      <c r="S35" s="5" t="s">
        <v>25</v>
      </c>
      <c r="T35" s="200">
        <f t="shared" si="69"/>
        <v>6.4372881355932207E-2</v>
      </c>
      <c r="U35" s="12">
        <f t="shared" si="68"/>
        <v>7.0012864232644537E-2</v>
      </c>
      <c r="V35" s="162">
        <f t="shared" si="67"/>
        <v>23.25</v>
      </c>
      <c r="W35" s="163">
        <f t="shared" si="65"/>
        <v>0.1699077922077922</v>
      </c>
      <c r="X35" s="22">
        <f t="shared" si="57"/>
        <v>0.18990000000000001</v>
      </c>
      <c r="Y35" s="160">
        <f t="shared" si="58"/>
        <v>0.20653794948630139</v>
      </c>
      <c r="Z35">
        <f t="shared" si="59"/>
        <v>68.587500000000006</v>
      </c>
      <c r="AA35" s="6">
        <f t="shared" si="60"/>
        <v>0.50122798701298699</v>
      </c>
      <c r="AB35" s="5" t="s">
        <v>189</v>
      </c>
      <c r="AC35" s="11">
        <v>2.95</v>
      </c>
    </row>
    <row r="36" spans="2:31" ht="57.6" x14ac:dyDescent="0.3">
      <c r="B36" s="72" t="s">
        <v>1200</v>
      </c>
      <c r="C36" s="3">
        <v>300</v>
      </c>
      <c r="D36" s="159">
        <f t="shared" si="64"/>
        <v>91.743119266055047</v>
      </c>
      <c r="E36" s="5" t="s">
        <v>1132</v>
      </c>
      <c r="F36" s="5" t="s">
        <v>1133</v>
      </c>
      <c r="G36" s="21" t="s">
        <v>45</v>
      </c>
      <c r="H36">
        <v>10</v>
      </c>
      <c r="I36">
        <v>10</v>
      </c>
      <c r="J36" t="s">
        <v>1392</v>
      </c>
      <c r="K36" s="8" t="s">
        <v>186</v>
      </c>
      <c r="L36" s="8" t="s">
        <v>187</v>
      </c>
      <c r="M36" s="8" t="s">
        <v>1466</v>
      </c>
      <c r="N36" s="161">
        <v>1310</v>
      </c>
      <c r="O36" s="161">
        <f t="shared" si="54"/>
        <v>4283.7</v>
      </c>
      <c r="P36" s="5" t="s">
        <v>25</v>
      </c>
      <c r="Q36" s="277"/>
      <c r="R36">
        <v>20</v>
      </c>
      <c r="S36" s="5" t="s">
        <v>25</v>
      </c>
      <c r="T36" s="200">
        <f t="shared" si="69"/>
        <v>5.807339449541285E-2</v>
      </c>
      <c r="U36" s="12">
        <f t="shared" si="68"/>
        <v>6.2840089700892304E-2</v>
      </c>
      <c r="V36" s="162">
        <f t="shared" ref="V36:V62" si="70">2.5%*N36</f>
        <v>32.75</v>
      </c>
      <c r="W36" s="163">
        <f t="shared" si="65"/>
        <v>0.23776493506493507</v>
      </c>
      <c r="X36" s="22">
        <f t="shared" si="57"/>
        <v>0.18990000000000001</v>
      </c>
      <c r="Y36" s="160">
        <f t="shared" si="58"/>
        <v>0.20548709332191784</v>
      </c>
      <c r="Z36">
        <f t="shared" si="59"/>
        <v>107.0925</v>
      </c>
      <c r="AA36" s="6">
        <f t="shared" si="60"/>
        <v>0.77749133766233769</v>
      </c>
      <c r="AB36" s="5" t="s">
        <v>189</v>
      </c>
      <c r="AC36" s="11">
        <v>3.27</v>
      </c>
    </row>
    <row r="37" spans="2:31" ht="57.6" x14ac:dyDescent="0.3">
      <c r="B37" s="72" t="s">
        <v>1200</v>
      </c>
      <c r="C37" s="3">
        <v>1000</v>
      </c>
      <c r="D37" s="159">
        <f t="shared" si="64"/>
        <v>289.01734104046244</v>
      </c>
      <c r="E37" s="5" t="s">
        <v>1134</v>
      </c>
      <c r="F37" s="5" t="s">
        <v>1135</v>
      </c>
      <c r="G37" s="21" t="s">
        <v>45</v>
      </c>
      <c r="H37">
        <v>10</v>
      </c>
      <c r="I37">
        <v>10</v>
      </c>
      <c r="J37" t="s">
        <v>1392</v>
      </c>
      <c r="K37" s="8" t="s">
        <v>186</v>
      </c>
      <c r="L37" s="8" t="s">
        <v>187</v>
      </c>
      <c r="M37" s="8" t="s">
        <v>1466</v>
      </c>
      <c r="N37" s="161">
        <v>1110</v>
      </c>
      <c r="O37" s="161">
        <f t="shared" si="54"/>
        <v>3840.6</v>
      </c>
      <c r="P37" s="5" t="s">
        <v>25</v>
      </c>
      <c r="Q37" s="277"/>
      <c r="R37">
        <v>20</v>
      </c>
      <c r="S37" s="5" t="s">
        <v>25</v>
      </c>
      <c r="T37" s="200">
        <f t="shared" si="69"/>
        <v>5.4884393063583822E-2</v>
      </c>
      <c r="U37" s="12">
        <f t="shared" si="68"/>
        <v>5.8923348543035881E-2</v>
      </c>
      <c r="V37" s="162">
        <f t="shared" si="70"/>
        <v>27.75</v>
      </c>
      <c r="W37" s="163">
        <f t="shared" si="65"/>
        <v>0.20205064935064934</v>
      </c>
      <c r="X37" s="22">
        <f t="shared" si="57"/>
        <v>0.18990000000000001</v>
      </c>
      <c r="Y37" s="160">
        <f t="shared" si="58"/>
        <v>0.20387478595890415</v>
      </c>
      <c r="Z37">
        <f t="shared" si="59"/>
        <v>96.015000000000001</v>
      </c>
      <c r="AA37" s="6">
        <f t="shared" si="60"/>
        <v>0.69909524675324675</v>
      </c>
      <c r="AB37" s="5" t="s">
        <v>189</v>
      </c>
      <c r="AC37" s="11">
        <v>3.46</v>
      </c>
    </row>
    <row r="38" spans="2:31" ht="57.6" x14ac:dyDescent="0.3">
      <c r="B38" s="72" t="s">
        <v>1200</v>
      </c>
      <c r="C38" s="3">
        <v>2000</v>
      </c>
      <c r="D38" s="159">
        <f t="shared" si="64"/>
        <v>578.03468208092488</v>
      </c>
      <c r="E38" s="5" t="s">
        <v>1136</v>
      </c>
      <c r="F38" s="5" t="s">
        <v>1137</v>
      </c>
      <c r="G38" s="21" t="s">
        <v>45</v>
      </c>
      <c r="H38">
        <v>10</v>
      </c>
      <c r="I38">
        <v>10</v>
      </c>
      <c r="J38" t="s">
        <v>1392</v>
      </c>
      <c r="K38" s="8" t="s">
        <v>186</v>
      </c>
      <c r="L38" s="8" t="s">
        <v>187</v>
      </c>
      <c r="M38" s="8" t="s">
        <v>1466</v>
      </c>
      <c r="N38" s="161">
        <v>1010</v>
      </c>
      <c r="O38" s="161">
        <f t="shared" si="54"/>
        <v>3494.6</v>
      </c>
      <c r="P38" s="5" t="s">
        <v>25</v>
      </c>
      <c r="Q38" s="277"/>
      <c r="R38">
        <v>20</v>
      </c>
      <c r="S38" s="5" t="s">
        <v>25</v>
      </c>
      <c r="T38" s="200">
        <f t="shared" si="69"/>
        <v>5.4884393063583822E-2</v>
      </c>
      <c r="U38" s="12">
        <f t="shared" si="68"/>
        <v>5.8559478680022176E-2</v>
      </c>
      <c r="V38" s="162">
        <f t="shared" si="70"/>
        <v>25.25</v>
      </c>
      <c r="W38" s="163">
        <f t="shared" si="65"/>
        <v>0.18419350649350649</v>
      </c>
      <c r="X38" s="22">
        <f t="shared" si="57"/>
        <v>0.18990000000000001</v>
      </c>
      <c r="Y38" s="160">
        <f t="shared" si="58"/>
        <v>0.20261579623287673</v>
      </c>
      <c r="Z38">
        <f t="shared" si="59"/>
        <v>87.364999999999995</v>
      </c>
      <c r="AA38" s="6">
        <f t="shared" si="60"/>
        <v>0.63730953246753241</v>
      </c>
      <c r="AB38" s="5" t="s">
        <v>189</v>
      </c>
      <c r="AC38" s="11">
        <v>3.46</v>
      </c>
    </row>
    <row r="39" spans="2:31" ht="57.6" x14ac:dyDescent="0.3">
      <c r="B39" s="72" t="s">
        <v>1200</v>
      </c>
      <c r="C39" s="3">
        <v>5000</v>
      </c>
      <c r="D39" s="159">
        <f t="shared" si="64"/>
        <v>1445.0867052023123</v>
      </c>
      <c r="E39" s="5" t="s">
        <v>1138</v>
      </c>
      <c r="F39" s="5" t="s">
        <v>1139</v>
      </c>
      <c r="G39" s="21" t="s">
        <v>45</v>
      </c>
      <c r="H39">
        <v>10</v>
      </c>
      <c r="I39">
        <v>10</v>
      </c>
      <c r="J39" t="s">
        <v>1392</v>
      </c>
      <c r="K39" s="8" t="s">
        <v>186</v>
      </c>
      <c r="L39" s="8" t="s">
        <v>187</v>
      </c>
      <c r="M39" s="8" t="s">
        <v>1466</v>
      </c>
      <c r="N39" s="161">
        <v>890</v>
      </c>
      <c r="O39" s="161">
        <f t="shared" si="54"/>
        <v>3079.4</v>
      </c>
      <c r="P39" s="5" t="s">
        <v>25</v>
      </c>
      <c r="Q39" s="277"/>
      <c r="R39">
        <v>20</v>
      </c>
      <c r="S39" s="5" t="s">
        <v>25</v>
      </c>
      <c r="T39" s="200">
        <f t="shared" si="69"/>
        <v>5.4884393063583822E-2</v>
      </c>
      <c r="U39" s="12">
        <f t="shared" si="68"/>
        <v>5.8122834844405738E-2</v>
      </c>
      <c r="V39" s="162">
        <f t="shared" si="70"/>
        <v>22.25</v>
      </c>
      <c r="W39" s="163">
        <f t="shared" si="65"/>
        <v>0.16276493506493506</v>
      </c>
      <c r="X39" s="22">
        <f t="shared" si="57"/>
        <v>0.18990000000000001</v>
      </c>
      <c r="Y39" s="160">
        <f t="shared" si="58"/>
        <v>0.20110500856164384</v>
      </c>
      <c r="Z39">
        <f t="shared" si="59"/>
        <v>76.984999999999999</v>
      </c>
      <c r="AA39" s="6">
        <f t="shared" si="60"/>
        <v>0.56316667532467524</v>
      </c>
      <c r="AB39" s="5" t="s">
        <v>189</v>
      </c>
      <c r="AC39" s="11">
        <v>3.46</v>
      </c>
    </row>
    <row r="40" spans="2:31" ht="57.6" x14ac:dyDescent="0.3">
      <c r="B40" s="72" t="s">
        <v>1200</v>
      </c>
      <c r="C40" s="3">
        <v>10000</v>
      </c>
      <c r="D40" s="159">
        <f t="shared" si="64"/>
        <v>2890.1734104046245</v>
      </c>
      <c r="E40" s="5" t="s">
        <v>1140</v>
      </c>
      <c r="F40" s="5" t="s">
        <v>1141</v>
      </c>
      <c r="G40" s="21" t="s">
        <v>45</v>
      </c>
      <c r="H40">
        <v>10</v>
      </c>
      <c r="I40">
        <v>10</v>
      </c>
      <c r="J40" t="s">
        <v>1392</v>
      </c>
      <c r="K40" s="8" t="s">
        <v>186</v>
      </c>
      <c r="L40" s="8" t="s">
        <v>187</v>
      </c>
      <c r="M40" s="8" t="s">
        <v>1466</v>
      </c>
      <c r="N40" s="161">
        <v>810</v>
      </c>
      <c r="O40" s="161">
        <f t="shared" si="54"/>
        <v>2802.6</v>
      </c>
      <c r="P40" s="5" t="s">
        <v>25</v>
      </c>
      <c r="Q40" s="277"/>
      <c r="R40">
        <v>20</v>
      </c>
      <c r="S40" s="5" t="s">
        <v>25</v>
      </c>
      <c r="T40" s="200">
        <f t="shared" si="69"/>
        <v>5.4884393063583822E-2</v>
      </c>
      <c r="U40" s="12">
        <f t="shared" si="68"/>
        <v>5.783173895399478E-2</v>
      </c>
      <c r="V40" s="162">
        <f t="shared" si="70"/>
        <v>20.25</v>
      </c>
      <c r="W40" s="163">
        <f t="shared" si="65"/>
        <v>0.14847922077922079</v>
      </c>
      <c r="X40" s="22">
        <f t="shared" si="57"/>
        <v>0.18990000000000001</v>
      </c>
      <c r="Y40" s="160">
        <f t="shared" si="58"/>
        <v>0.20009781678082195</v>
      </c>
      <c r="Z40">
        <f t="shared" si="59"/>
        <v>70.064999999999998</v>
      </c>
      <c r="AA40" s="6">
        <f t="shared" si="60"/>
        <v>0.51373810389610397</v>
      </c>
      <c r="AB40" s="5" t="s">
        <v>189</v>
      </c>
      <c r="AC40" s="11">
        <v>3.46</v>
      </c>
    </row>
    <row r="41" spans="2:31" ht="57.6" x14ac:dyDescent="0.3">
      <c r="B41" s="73" t="s">
        <v>1200</v>
      </c>
      <c r="C41" s="30">
        <v>20000</v>
      </c>
      <c r="D41" s="176">
        <f t="shared" si="64"/>
        <v>5780.346820809249</v>
      </c>
      <c r="E41" s="32" t="s">
        <v>1143</v>
      </c>
      <c r="F41" s="32" t="s">
        <v>1142</v>
      </c>
      <c r="G41" s="43" t="s">
        <v>45</v>
      </c>
      <c r="H41" s="35">
        <v>10</v>
      </c>
      <c r="I41" s="35">
        <v>10</v>
      </c>
      <c r="J41" s="35" t="s">
        <v>1392</v>
      </c>
      <c r="K41" s="76" t="s">
        <v>186</v>
      </c>
      <c r="L41" s="76" t="s">
        <v>187</v>
      </c>
      <c r="M41" s="76" t="s">
        <v>1466</v>
      </c>
      <c r="N41" s="201">
        <v>740</v>
      </c>
      <c r="O41" s="201">
        <f t="shared" si="54"/>
        <v>2560.4</v>
      </c>
      <c r="P41" s="32" t="s">
        <v>25</v>
      </c>
      <c r="Q41" s="278"/>
      <c r="R41" s="35">
        <v>20</v>
      </c>
      <c r="S41" s="32" t="s">
        <v>25</v>
      </c>
      <c r="T41" s="217">
        <f t="shared" si="69"/>
        <v>5.4884393063583822E-2</v>
      </c>
      <c r="U41" s="164">
        <f t="shared" si="68"/>
        <v>5.7577030049885194E-2</v>
      </c>
      <c r="V41" s="202">
        <f t="shared" si="70"/>
        <v>18.5</v>
      </c>
      <c r="W41" s="203">
        <f t="shared" si="65"/>
        <v>0.13597922077922078</v>
      </c>
      <c r="X41" s="44">
        <f t="shared" si="57"/>
        <v>0.18990000000000001</v>
      </c>
      <c r="Y41" s="177">
        <f t="shared" si="58"/>
        <v>0.19921652397260278</v>
      </c>
      <c r="Z41" s="35">
        <f t="shared" si="59"/>
        <v>64.010000000000005</v>
      </c>
      <c r="AA41" s="41">
        <f t="shared" si="60"/>
        <v>0.4704881038961039</v>
      </c>
      <c r="AB41" s="32" t="s">
        <v>189</v>
      </c>
      <c r="AC41" s="60">
        <v>3.46</v>
      </c>
      <c r="AD41" s="35"/>
      <c r="AE41" s="35"/>
    </row>
    <row r="42" spans="2:31" ht="57.6" x14ac:dyDescent="0.3">
      <c r="B42" s="244" t="s">
        <v>1201</v>
      </c>
      <c r="C42" s="159">
        <f t="shared" ref="C42:C56" si="71">C27/AD42</f>
        <v>3.9701492537313432</v>
      </c>
      <c r="D42" s="159">
        <f t="shared" si="64"/>
        <v>1.4925373134328357</v>
      </c>
      <c r="E42" s="5" t="s">
        <v>1246</v>
      </c>
      <c r="F42" s="5" t="s">
        <v>1247</v>
      </c>
      <c r="G42" s="182" t="s">
        <v>45</v>
      </c>
      <c r="H42" s="186">
        <v>10</v>
      </c>
      <c r="I42" s="186">
        <v>10</v>
      </c>
      <c r="J42" s="186" t="s">
        <v>1392</v>
      </c>
      <c r="K42" s="195" t="s">
        <v>186</v>
      </c>
      <c r="L42" s="195" t="s">
        <v>187</v>
      </c>
      <c r="M42" s="195" t="s">
        <v>1466</v>
      </c>
      <c r="N42" s="161">
        <f>N27*AD42</f>
        <v>4987.2180451127824</v>
      </c>
      <c r="O42" s="161">
        <f>$N42*$AC42</f>
        <v>13266.000000000002</v>
      </c>
      <c r="P42" s="181" t="s">
        <v>25</v>
      </c>
      <c r="Q42" s="276" t="s">
        <v>188</v>
      </c>
      <c r="R42" s="186">
        <v>20</v>
      </c>
      <c r="S42" s="181" t="s">
        <v>25</v>
      </c>
      <c r="T42" s="200">
        <f>T27*AD42</f>
        <v>0.10796992481203008</v>
      </c>
      <c r="U42" s="12">
        <f>U27*AD42</f>
        <v>0.15066870944484498</v>
      </c>
      <c r="V42" s="162">
        <f>V27*AD42</f>
        <v>88.15789473684211</v>
      </c>
      <c r="W42" s="163">
        <f>W27*AD42</f>
        <v>0.63453075871496922</v>
      </c>
      <c r="X42" s="188">
        <f t="shared" ref="X42:X56" si="72">T42*AC42</f>
        <v>0.28720000000000001</v>
      </c>
      <c r="Y42" s="185">
        <f t="shared" ref="Y42:Y56" si="73">U42*AC42</f>
        <v>0.40077876712328764</v>
      </c>
      <c r="Z42" s="186">
        <f t="shared" ref="Z42:Z56" si="74">V42*AC42</f>
        <v>234.50000000000003</v>
      </c>
      <c r="AA42" s="187">
        <f t="shared" ref="AA42:AA56" si="75">W42*AC42</f>
        <v>1.6878518181818183</v>
      </c>
      <c r="AB42" s="181" t="s">
        <v>189</v>
      </c>
      <c r="AC42">
        <v>2.66</v>
      </c>
      <c r="AD42" s="13">
        <f>AC27/AC42</f>
        <v>1.2593984962406015</v>
      </c>
    </row>
    <row r="43" spans="2:31" ht="57.6" x14ac:dyDescent="0.3">
      <c r="B43" s="244" t="s">
        <v>1201</v>
      </c>
      <c r="C43" s="159">
        <f t="shared" si="71"/>
        <v>7.9545454545454533</v>
      </c>
      <c r="D43" s="159">
        <f t="shared" si="64"/>
        <v>2.8409090909090908</v>
      </c>
      <c r="E43" s="5" t="s">
        <v>1248</v>
      </c>
      <c r="F43" s="5" t="s">
        <v>1249</v>
      </c>
      <c r="G43" s="21" t="s">
        <v>45</v>
      </c>
      <c r="H43">
        <v>10</v>
      </c>
      <c r="I43">
        <v>10</v>
      </c>
      <c r="J43" t="s">
        <v>1392</v>
      </c>
      <c r="K43" s="8" t="s">
        <v>186</v>
      </c>
      <c r="L43" s="8" t="s">
        <v>187</v>
      </c>
      <c r="M43" s="8" t="s">
        <v>1466</v>
      </c>
      <c r="N43" s="161">
        <f t="shared" ref="N43:N56" si="76">N28*AD43</f>
        <v>3670.8571428571436</v>
      </c>
      <c r="O43" s="161">
        <f t="shared" ref="O43:O56" si="77">$N43*$AC43</f>
        <v>10278.400000000001</v>
      </c>
      <c r="P43" s="5" t="s">
        <v>25</v>
      </c>
      <c r="Q43" s="277"/>
      <c r="R43">
        <v>20</v>
      </c>
      <c r="S43" s="5" t="s">
        <v>25</v>
      </c>
      <c r="T43" s="200">
        <f t="shared" ref="T43:T56" si="78">T28*AD43</f>
        <v>0.10257142857142859</v>
      </c>
      <c r="U43" s="12">
        <f t="shared" ref="U43:U56" si="79">U28*AD43</f>
        <v>0.13400000000000004</v>
      </c>
      <c r="V43" s="162">
        <f t="shared" ref="V43:V56" si="80">V28*AD43</f>
        <v>55.062857142857148</v>
      </c>
      <c r="W43" s="163">
        <f t="shared" ref="W43:W56" si="81">W28*AD43</f>
        <v>0.3981289795918368</v>
      </c>
      <c r="X43" s="22">
        <f t="shared" si="72"/>
        <v>0.28720000000000001</v>
      </c>
      <c r="Y43" s="160">
        <f t="shared" si="73"/>
        <v>0.37520000000000009</v>
      </c>
      <c r="Z43">
        <f t="shared" si="74"/>
        <v>154.17600000000002</v>
      </c>
      <c r="AA43" s="6">
        <f t="shared" si="75"/>
        <v>1.1147611428571429</v>
      </c>
      <c r="AB43" s="5" t="s">
        <v>189</v>
      </c>
      <c r="AC43" s="11">
        <v>2.8</v>
      </c>
      <c r="AD43" s="13">
        <f t="shared" ref="AD43:AD56" si="82">AC28/AC43</f>
        <v>1.2571428571428573</v>
      </c>
    </row>
    <row r="44" spans="2:31" ht="57.6" x14ac:dyDescent="0.3">
      <c r="B44" s="244" t="s">
        <v>1201</v>
      </c>
      <c r="C44" s="159">
        <f t="shared" si="71"/>
        <v>16.253602305475503</v>
      </c>
      <c r="D44" s="159">
        <f t="shared" si="64"/>
        <v>5.7636887608069163</v>
      </c>
      <c r="E44" s="5" t="s">
        <v>1250</v>
      </c>
      <c r="F44" s="5" t="s">
        <v>1251</v>
      </c>
      <c r="G44" s="21" t="s">
        <v>45</v>
      </c>
      <c r="H44">
        <v>10</v>
      </c>
      <c r="I44">
        <v>10</v>
      </c>
      <c r="J44" t="s">
        <v>1392</v>
      </c>
      <c r="K44" s="8" t="s">
        <v>186</v>
      </c>
      <c r="L44" s="8" t="s">
        <v>187</v>
      </c>
      <c r="M44" s="8" t="s">
        <v>1466</v>
      </c>
      <c r="N44" s="161">
        <f t="shared" si="76"/>
        <v>2842.4468085106382</v>
      </c>
      <c r="O44" s="161">
        <f t="shared" si="77"/>
        <v>8015.6999999999989</v>
      </c>
      <c r="P44" s="5" t="s">
        <v>25</v>
      </c>
      <c r="Q44" s="277"/>
      <c r="R44">
        <v>20</v>
      </c>
      <c r="S44" s="5" t="s">
        <v>25</v>
      </c>
      <c r="T44" s="200">
        <f t="shared" si="78"/>
        <v>0.10184397163120568</v>
      </c>
      <c r="U44" s="12">
        <f t="shared" si="79"/>
        <v>0.1261799888273584</v>
      </c>
      <c r="V44" s="162">
        <f t="shared" si="80"/>
        <v>42.636702127659575</v>
      </c>
      <c r="W44" s="163">
        <f t="shared" si="81"/>
        <v>0.30926850419084462</v>
      </c>
      <c r="X44" s="22">
        <f t="shared" si="72"/>
        <v>0.28720000000000001</v>
      </c>
      <c r="Y44" s="160">
        <f t="shared" si="73"/>
        <v>0.35582756849315067</v>
      </c>
      <c r="Z44">
        <f t="shared" si="74"/>
        <v>120.2355</v>
      </c>
      <c r="AA44" s="6">
        <f t="shared" si="75"/>
        <v>0.87213718181818178</v>
      </c>
      <c r="AB44" s="5" t="s">
        <v>189</v>
      </c>
      <c r="AC44">
        <v>2.82</v>
      </c>
      <c r="AD44" s="13">
        <f t="shared" si="82"/>
        <v>1.2304964539007093</v>
      </c>
    </row>
    <row r="45" spans="2:31" ht="57.6" x14ac:dyDescent="0.3">
      <c r="B45" s="244" t="s">
        <v>1201</v>
      </c>
      <c r="C45" s="159">
        <f t="shared" si="71"/>
        <v>23.064066852367688</v>
      </c>
      <c r="D45" s="159">
        <f t="shared" si="64"/>
        <v>8.3565459610027855</v>
      </c>
      <c r="E45" s="5" t="s">
        <v>1252</v>
      </c>
      <c r="F45" s="5" t="s">
        <v>1253</v>
      </c>
      <c r="G45" s="21" t="s">
        <v>45</v>
      </c>
      <c r="H45">
        <v>10</v>
      </c>
      <c r="I45">
        <v>10</v>
      </c>
      <c r="J45" t="s">
        <v>1392</v>
      </c>
      <c r="K45" s="8" t="s">
        <v>186</v>
      </c>
      <c r="L45" s="8" t="s">
        <v>187</v>
      </c>
      <c r="M45" s="8" t="s">
        <v>1466</v>
      </c>
      <c r="N45" s="161">
        <f t="shared" si="76"/>
        <v>2601.449275362319</v>
      </c>
      <c r="O45" s="161">
        <f t="shared" si="77"/>
        <v>7180</v>
      </c>
      <c r="P45" s="5" t="s">
        <v>25</v>
      </c>
      <c r="Q45" s="277"/>
      <c r="R45">
        <v>20</v>
      </c>
      <c r="S45" s="5" t="s">
        <v>25</v>
      </c>
      <c r="T45" s="200">
        <f t="shared" si="78"/>
        <v>6.8804347826086965E-2</v>
      </c>
      <c r="U45" s="12">
        <f t="shared" si="79"/>
        <v>7.8270237740718687E-2</v>
      </c>
      <c r="V45" s="162">
        <f t="shared" si="80"/>
        <v>39.021739130434781</v>
      </c>
      <c r="W45" s="163">
        <f t="shared" si="81"/>
        <v>0.28371676077545643</v>
      </c>
      <c r="X45" s="22">
        <f t="shared" si="72"/>
        <v>0.18990000000000001</v>
      </c>
      <c r="Y45" s="160">
        <f t="shared" si="73"/>
        <v>0.21602585616438355</v>
      </c>
      <c r="Z45">
        <f t="shared" si="74"/>
        <v>107.69999999999999</v>
      </c>
      <c r="AA45" s="6">
        <f t="shared" si="75"/>
        <v>0.78305825974025967</v>
      </c>
      <c r="AB45" s="5" t="s">
        <v>189</v>
      </c>
      <c r="AC45">
        <v>2.76</v>
      </c>
      <c r="AD45" s="13">
        <f t="shared" si="82"/>
        <v>1.3007246376811594</v>
      </c>
    </row>
    <row r="46" spans="2:31" ht="57.6" x14ac:dyDescent="0.3">
      <c r="B46" s="244" t="s">
        <v>1201</v>
      </c>
      <c r="C46" s="159">
        <f t="shared" si="71"/>
        <v>32.684365781710909</v>
      </c>
      <c r="D46" s="159">
        <f t="shared" si="64"/>
        <v>11.799410029498523</v>
      </c>
      <c r="E46" s="5" t="s">
        <v>1254</v>
      </c>
      <c r="F46" s="5" t="s">
        <v>1255</v>
      </c>
      <c r="G46" s="21" t="s">
        <v>45</v>
      </c>
      <c r="H46">
        <v>10</v>
      </c>
      <c r="I46">
        <v>10</v>
      </c>
      <c r="J46" t="s">
        <v>1392</v>
      </c>
      <c r="K46" s="8" t="s">
        <v>186</v>
      </c>
      <c r="L46" s="8" t="s">
        <v>187</v>
      </c>
      <c r="M46" s="8" t="s">
        <v>1466</v>
      </c>
      <c r="N46" s="161">
        <f t="shared" si="76"/>
        <v>2435.415162454874</v>
      </c>
      <c r="O46" s="161">
        <f t="shared" si="77"/>
        <v>6746.1000000000013</v>
      </c>
      <c r="P46" s="5" t="s">
        <v>25</v>
      </c>
      <c r="Q46" s="277"/>
      <c r="R46">
        <v>20</v>
      </c>
      <c r="S46" s="5" t="s">
        <v>25</v>
      </c>
      <c r="T46" s="200">
        <f t="shared" si="78"/>
        <v>6.8555956678700361E-2</v>
      </c>
      <c r="U46" s="12">
        <f t="shared" si="79"/>
        <v>7.7417698494139764E-2</v>
      </c>
      <c r="V46" s="162">
        <f t="shared" si="80"/>
        <v>36.531227436823102</v>
      </c>
      <c r="W46" s="163">
        <f t="shared" si="81"/>
        <v>0.26563238314032539</v>
      </c>
      <c r="X46" s="22">
        <f t="shared" si="72"/>
        <v>0.18990000000000001</v>
      </c>
      <c r="Y46" s="160">
        <f t="shared" si="73"/>
        <v>0.21444702482876715</v>
      </c>
      <c r="Z46">
        <f t="shared" si="74"/>
        <v>101.19149999999999</v>
      </c>
      <c r="AA46" s="6">
        <f t="shared" si="75"/>
        <v>0.73580170129870137</v>
      </c>
      <c r="AB46" s="5" t="s">
        <v>189</v>
      </c>
      <c r="AC46">
        <v>2.77</v>
      </c>
      <c r="AD46" s="13">
        <f t="shared" si="82"/>
        <v>1.2238267148014441</v>
      </c>
    </row>
    <row r="47" spans="2:31" ht="57.6" x14ac:dyDescent="0.3">
      <c r="B47" s="244" t="s">
        <v>1201</v>
      </c>
      <c r="C47" s="159">
        <f t="shared" si="71"/>
        <v>45.398773006134974</v>
      </c>
      <c r="D47" s="159">
        <f t="shared" si="64"/>
        <v>15.337423312883438</v>
      </c>
      <c r="E47" s="5" t="s">
        <v>1256</v>
      </c>
      <c r="F47" s="5" t="s">
        <v>1257</v>
      </c>
      <c r="G47" s="21" t="s">
        <v>45</v>
      </c>
      <c r="H47">
        <v>10</v>
      </c>
      <c r="I47">
        <v>10</v>
      </c>
      <c r="J47" t="s">
        <v>1392</v>
      </c>
      <c r="K47" s="8" t="s">
        <v>186</v>
      </c>
      <c r="L47" s="8" t="s">
        <v>187</v>
      </c>
      <c r="M47" s="8" t="s">
        <v>1466</v>
      </c>
      <c r="N47" s="161">
        <f t="shared" si="76"/>
        <v>2081.5540540540542</v>
      </c>
      <c r="O47" s="161">
        <f t="shared" si="77"/>
        <v>6161.4000000000005</v>
      </c>
      <c r="P47" s="5" t="s">
        <v>25</v>
      </c>
      <c r="Q47" s="277"/>
      <c r="R47">
        <v>20</v>
      </c>
      <c r="S47" s="5" t="s">
        <v>25</v>
      </c>
      <c r="T47" s="200">
        <f t="shared" si="78"/>
        <v>6.4155405405405416E-2</v>
      </c>
      <c r="U47" s="12">
        <f t="shared" si="79"/>
        <v>7.1729553290447987E-2</v>
      </c>
      <c r="V47" s="162">
        <f t="shared" si="80"/>
        <v>31.223310810810808</v>
      </c>
      <c r="W47" s="163">
        <f t="shared" si="81"/>
        <v>0.22724883292383291</v>
      </c>
      <c r="X47" s="22">
        <f t="shared" si="72"/>
        <v>0.18990000000000004</v>
      </c>
      <c r="Y47" s="160">
        <f t="shared" si="73"/>
        <v>0.21231947773972604</v>
      </c>
      <c r="Z47">
        <f t="shared" si="74"/>
        <v>92.420999999999992</v>
      </c>
      <c r="AA47" s="6">
        <f t="shared" si="75"/>
        <v>0.67265654545454545</v>
      </c>
      <c r="AB47" s="5" t="s">
        <v>189</v>
      </c>
      <c r="AC47">
        <v>2.96</v>
      </c>
      <c r="AD47" s="13">
        <f t="shared" si="82"/>
        <v>1.1013513513513513</v>
      </c>
    </row>
    <row r="48" spans="2:31" ht="57.6" x14ac:dyDescent="0.3">
      <c r="B48" s="244" t="s">
        <v>1201</v>
      </c>
      <c r="C48" s="159">
        <f t="shared" si="71"/>
        <v>57.29032258064516</v>
      </c>
      <c r="D48" s="159">
        <f t="shared" si="64"/>
        <v>19.35483870967742</v>
      </c>
      <c r="E48" s="5" t="s">
        <v>1258</v>
      </c>
      <c r="F48" s="5" t="s">
        <v>1259</v>
      </c>
      <c r="G48" s="21" t="s">
        <v>45</v>
      </c>
      <c r="H48">
        <v>10</v>
      </c>
      <c r="I48">
        <v>10</v>
      </c>
      <c r="J48" t="s">
        <v>1392</v>
      </c>
      <c r="K48" s="8" t="s">
        <v>186</v>
      </c>
      <c r="L48" s="8" t="s">
        <v>187</v>
      </c>
      <c r="M48" s="8" t="s">
        <v>1466</v>
      </c>
      <c r="N48" s="161">
        <f t="shared" si="76"/>
        <v>1885.1351351351352</v>
      </c>
      <c r="O48" s="161">
        <f t="shared" si="77"/>
        <v>5580</v>
      </c>
      <c r="P48" s="5" t="s">
        <v>25</v>
      </c>
      <c r="Q48" s="277"/>
      <c r="R48">
        <v>20</v>
      </c>
      <c r="S48" s="5" t="s">
        <v>25</v>
      </c>
      <c r="T48" s="200">
        <f t="shared" si="78"/>
        <v>6.4155405405405416E-2</v>
      </c>
      <c r="U48" s="12">
        <f t="shared" si="79"/>
        <v>7.1014844039244726E-2</v>
      </c>
      <c r="V48" s="162">
        <f t="shared" si="80"/>
        <v>28.277027027027028</v>
      </c>
      <c r="W48" s="163">
        <f t="shared" si="81"/>
        <v>0.20599657774657776</v>
      </c>
      <c r="X48" s="22">
        <f t="shared" si="72"/>
        <v>0.18990000000000004</v>
      </c>
      <c r="Y48" s="160">
        <f t="shared" si="73"/>
        <v>0.21020393835616438</v>
      </c>
      <c r="Z48">
        <f t="shared" si="74"/>
        <v>83.7</v>
      </c>
      <c r="AA48" s="6">
        <f t="shared" si="75"/>
        <v>0.60974987012987014</v>
      </c>
      <c r="AB48" s="5" t="s">
        <v>189</v>
      </c>
      <c r="AC48">
        <v>2.96</v>
      </c>
      <c r="AD48" s="13">
        <f t="shared" si="82"/>
        <v>1.0472972972972974</v>
      </c>
    </row>
    <row r="49" spans="2:30" ht="57.6" x14ac:dyDescent="0.3">
      <c r="B49" s="244" t="s">
        <v>1201</v>
      </c>
      <c r="C49" s="159">
        <f t="shared" si="71"/>
        <v>77.350993377483434</v>
      </c>
      <c r="D49" s="159">
        <f t="shared" si="64"/>
        <v>26.49006622516556</v>
      </c>
      <c r="E49" s="5" t="s">
        <v>1260</v>
      </c>
      <c r="F49" s="5" t="s">
        <v>1261</v>
      </c>
      <c r="G49" s="21" t="s">
        <v>45</v>
      </c>
      <c r="H49">
        <v>10</v>
      </c>
      <c r="I49">
        <v>10</v>
      </c>
      <c r="J49" t="s">
        <v>1392</v>
      </c>
      <c r="K49" s="8" t="s">
        <v>186</v>
      </c>
      <c r="L49" s="8" t="s">
        <v>187</v>
      </c>
      <c r="M49" s="8" t="s">
        <v>1466</v>
      </c>
      <c r="N49" s="161">
        <f t="shared" si="76"/>
        <v>1747.8767123287673</v>
      </c>
      <c r="O49" s="161">
        <f t="shared" si="77"/>
        <v>5103.8</v>
      </c>
      <c r="P49" s="5" t="s">
        <v>25</v>
      </c>
      <c r="Q49" s="277"/>
      <c r="R49">
        <v>20</v>
      </c>
      <c r="S49" s="5" t="s">
        <v>25</v>
      </c>
      <c r="T49" s="200">
        <f t="shared" si="78"/>
        <v>6.5034246575342486E-2</v>
      </c>
      <c r="U49" s="12">
        <f t="shared" si="79"/>
        <v>7.1394243174141503E-2</v>
      </c>
      <c r="V49" s="162">
        <f t="shared" si="80"/>
        <v>26.218150684931508</v>
      </c>
      <c r="W49" s="163">
        <f t="shared" si="81"/>
        <v>0.19124025084504537</v>
      </c>
      <c r="X49" s="22">
        <f t="shared" si="72"/>
        <v>0.18990000000000004</v>
      </c>
      <c r="Y49" s="160">
        <f t="shared" si="73"/>
        <v>0.20847119006849318</v>
      </c>
      <c r="Z49">
        <f t="shared" si="74"/>
        <v>76.557000000000002</v>
      </c>
      <c r="AA49" s="6">
        <f t="shared" si="75"/>
        <v>0.55842153246753246</v>
      </c>
      <c r="AB49" s="5" t="s">
        <v>189</v>
      </c>
      <c r="AC49">
        <v>2.92</v>
      </c>
      <c r="AD49" s="13">
        <f t="shared" si="82"/>
        <v>1.0342465753424659</v>
      </c>
    </row>
    <row r="50" spans="2:30" ht="57.6" x14ac:dyDescent="0.3">
      <c r="B50" s="244" t="s">
        <v>1201</v>
      </c>
      <c r="C50" s="159">
        <f t="shared" si="71"/>
        <v>96.610169491525411</v>
      </c>
      <c r="D50" s="159">
        <f t="shared" si="64"/>
        <v>33.898305084745758</v>
      </c>
      <c r="E50" s="5" t="s">
        <v>1262</v>
      </c>
      <c r="F50" s="5" t="s">
        <v>1263</v>
      </c>
      <c r="G50" s="21" t="s">
        <v>45</v>
      </c>
      <c r="H50">
        <v>10</v>
      </c>
      <c r="I50">
        <v>10</v>
      </c>
      <c r="J50" t="s">
        <v>1392</v>
      </c>
      <c r="K50" s="8" t="s">
        <v>186</v>
      </c>
      <c r="L50" s="8" t="s">
        <v>187</v>
      </c>
      <c r="M50" s="8" t="s">
        <v>1466</v>
      </c>
      <c r="N50" s="161">
        <f t="shared" si="76"/>
        <v>1604.3859649122808</v>
      </c>
      <c r="O50" s="161">
        <f t="shared" si="77"/>
        <v>4572.5</v>
      </c>
      <c r="P50" s="5" t="s">
        <v>25</v>
      </c>
      <c r="Q50" s="277"/>
      <c r="R50">
        <v>20</v>
      </c>
      <c r="S50" s="5" t="s">
        <v>25</v>
      </c>
      <c r="T50" s="200">
        <f t="shared" si="78"/>
        <v>6.6631578947368431E-2</v>
      </c>
      <c r="U50" s="12">
        <f t="shared" si="79"/>
        <v>7.2469455960105761E-2</v>
      </c>
      <c r="V50" s="162">
        <f t="shared" si="80"/>
        <v>24.065789473684212</v>
      </c>
      <c r="W50" s="163">
        <f t="shared" si="81"/>
        <v>0.17586946912736387</v>
      </c>
      <c r="X50" s="22">
        <f t="shared" si="72"/>
        <v>0.18990000000000004</v>
      </c>
      <c r="Y50" s="160">
        <f t="shared" si="73"/>
        <v>0.20653794948630141</v>
      </c>
      <c r="Z50">
        <f t="shared" si="74"/>
        <v>68.587500000000006</v>
      </c>
      <c r="AA50" s="6">
        <f t="shared" si="75"/>
        <v>0.5012279870129871</v>
      </c>
      <c r="AB50" s="5" t="s">
        <v>189</v>
      </c>
      <c r="AC50">
        <v>2.85</v>
      </c>
      <c r="AD50" s="13">
        <f t="shared" si="82"/>
        <v>1.0350877192982457</v>
      </c>
    </row>
    <row r="51" spans="2:30" ht="57.6" x14ac:dyDescent="0.3">
      <c r="B51" s="244" t="s">
        <v>1201</v>
      </c>
      <c r="C51" s="159">
        <f t="shared" si="71"/>
        <v>276.14678899082566</v>
      </c>
      <c r="D51" s="159">
        <f t="shared" si="64"/>
        <v>91.743119266055047</v>
      </c>
      <c r="E51" s="5" t="s">
        <v>1264</v>
      </c>
      <c r="F51" s="5" t="s">
        <v>1265</v>
      </c>
      <c r="G51" s="21" t="s">
        <v>45</v>
      </c>
      <c r="H51">
        <v>10</v>
      </c>
      <c r="I51">
        <v>10</v>
      </c>
      <c r="J51" t="s">
        <v>1392</v>
      </c>
      <c r="K51" s="8" t="s">
        <v>186</v>
      </c>
      <c r="L51" s="8" t="s">
        <v>187</v>
      </c>
      <c r="M51" s="8" t="s">
        <v>1466</v>
      </c>
      <c r="N51" s="161">
        <f t="shared" si="76"/>
        <v>1423.1561461794022</v>
      </c>
      <c r="O51" s="161">
        <f t="shared" si="77"/>
        <v>4283.7000000000007</v>
      </c>
      <c r="P51" s="5" t="s">
        <v>25</v>
      </c>
      <c r="Q51" s="277"/>
      <c r="R51">
        <v>20</v>
      </c>
      <c r="S51" s="5" t="s">
        <v>25</v>
      </c>
      <c r="T51" s="200">
        <f t="shared" si="78"/>
        <v>6.3089700996677753E-2</v>
      </c>
      <c r="U51" s="12">
        <f t="shared" si="79"/>
        <v>6.8268137316251781E-2</v>
      </c>
      <c r="V51" s="162">
        <f t="shared" si="80"/>
        <v>35.578903654485053</v>
      </c>
      <c r="W51" s="163">
        <f t="shared" si="81"/>
        <v>0.25830276998748763</v>
      </c>
      <c r="X51" s="22">
        <f t="shared" si="72"/>
        <v>0.18990000000000001</v>
      </c>
      <c r="Y51" s="160">
        <f t="shared" si="73"/>
        <v>0.20548709332191784</v>
      </c>
      <c r="Z51">
        <f t="shared" si="74"/>
        <v>107.0925</v>
      </c>
      <c r="AA51" s="6">
        <f t="shared" si="75"/>
        <v>0.77749133766233769</v>
      </c>
      <c r="AB51" s="5" t="s">
        <v>189</v>
      </c>
      <c r="AC51">
        <v>3.01</v>
      </c>
      <c r="AD51" s="13">
        <f t="shared" si="82"/>
        <v>1.0863787375415284</v>
      </c>
    </row>
    <row r="52" spans="2:30" ht="57.6" x14ac:dyDescent="0.3">
      <c r="B52" s="244" t="s">
        <v>1201</v>
      </c>
      <c r="C52" s="159">
        <f t="shared" si="71"/>
        <v>878.61271676300578</v>
      </c>
      <c r="D52" s="159">
        <f t="shared" si="64"/>
        <v>289.01734104046244</v>
      </c>
      <c r="E52" s="5" t="s">
        <v>1266</v>
      </c>
      <c r="F52" s="5" t="s">
        <v>1267</v>
      </c>
      <c r="G52" s="21" t="s">
        <v>45</v>
      </c>
      <c r="H52">
        <v>10</v>
      </c>
      <c r="I52">
        <v>10</v>
      </c>
      <c r="J52" t="s">
        <v>1392</v>
      </c>
      <c r="K52" s="8" t="s">
        <v>186</v>
      </c>
      <c r="L52" s="8" t="s">
        <v>187</v>
      </c>
      <c r="M52" s="8" t="s">
        <v>1466</v>
      </c>
      <c r="N52" s="161">
        <f t="shared" si="76"/>
        <v>1263.3552631578946</v>
      </c>
      <c r="O52" s="161">
        <f t="shared" si="77"/>
        <v>3840.5999999999995</v>
      </c>
      <c r="P52" s="5" t="s">
        <v>25</v>
      </c>
      <c r="Q52" s="277"/>
      <c r="R52">
        <v>20</v>
      </c>
      <c r="S52" s="5" t="s">
        <v>25</v>
      </c>
      <c r="T52" s="200">
        <f t="shared" si="78"/>
        <v>6.24671052631579E-2</v>
      </c>
      <c r="U52" s="12">
        <f t="shared" si="79"/>
        <v>6.7064074328586881E-2</v>
      </c>
      <c r="V52" s="162">
        <f t="shared" si="80"/>
        <v>31.583881578947366</v>
      </c>
      <c r="W52" s="163">
        <f t="shared" si="81"/>
        <v>0.22996554169514694</v>
      </c>
      <c r="X52" s="22">
        <f t="shared" si="72"/>
        <v>0.18990000000000001</v>
      </c>
      <c r="Y52" s="160">
        <f t="shared" si="73"/>
        <v>0.20387478595890413</v>
      </c>
      <c r="Z52">
        <f t="shared" si="74"/>
        <v>96.015000000000001</v>
      </c>
      <c r="AA52" s="6">
        <f t="shared" si="75"/>
        <v>0.69909524675324675</v>
      </c>
      <c r="AB52" s="5" t="s">
        <v>189</v>
      </c>
      <c r="AC52">
        <v>3.04</v>
      </c>
      <c r="AD52" s="13">
        <f t="shared" si="82"/>
        <v>1.138157894736842</v>
      </c>
    </row>
    <row r="53" spans="2:30" ht="57.6" x14ac:dyDescent="0.3">
      <c r="B53" s="244" t="s">
        <v>1201</v>
      </c>
      <c r="C53" s="159">
        <f t="shared" si="71"/>
        <v>1757.2254335260116</v>
      </c>
      <c r="D53" s="159">
        <f t="shared" si="64"/>
        <v>578.03468208092488</v>
      </c>
      <c r="E53" s="5" t="s">
        <v>1268</v>
      </c>
      <c r="F53" s="5" t="s">
        <v>1269</v>
      </c>
      <c r="G53" s="21" t="s">
        <v>45</v>
      </c>
      <c r="H53">
        <v>10</v>
      </c>
      <c r="I53">
        <v>10</v>
      </c>
      <c r="J53" t="s">
        <v>1392</v>
      </c>
      <c r="K53" s="8" t="s">
        <v>186</v>
      </c>
      <c r="L53" s="8" t="s">
        <v>187</v>
      </c>
      <c r="M53" s="8" t="s">
        <v>1466</v>
      </c>
      <c r="N53" s="161">
        <f t="shared" si="76"/>
        <v>1149.5394736842104</v>
      </c>
      <c r="O53" s="161">
        <f t="shared" si="77"/>
        <v>3494.5999999999995</v>
      </c>
      <c r="P53" s="5" t="s">
        <v>25</v>
      </c>
      <c r="Q53" s="277"/>
      <c r="R53">
        <v>20</v>
      </c>
      <c r="S53" s="5" t="s">
        <v>25</v>
      </c>
      <c r="T53" s="200">
        <f t="shared" si="78"/>
        <v>6.24671052631579E-2</v>
      </c>
      <c r="U53" s="12">
        <f t="shared" si="79"/>
        <v>6.664993297134103E-2</v>
      </c>
      <c r="V53" s="162">
        <f t="shared" si="80"/>
        <v>28.73848684210526</v>
      </c>
      <c r="W53" s="163">
        <f t="shared" si="81"/>
        <v>0.2096412935748462</v>
      </c>
      <c r="X53" s="22">
        <f t="shared" si="72"/>
        <v>0.18990000000000001</v>
      </c>
      <c r="Y53" s="160">
        <f t="shared" si="73"/>
        <v>0.20261579623287673</v>
      </c>
      <c r="Z53">
        <f t="shared" si="74"/>
        <v>87.364999999999995</v>
      </c>
      <c r="AA53" s="6">
        <f t="shared" si="75"/>
        <v>0.63730953246753252</v>
      </c>
      <c r="AB53" s="5" t="s">
        <v>189</v>
      </c>
      <c r="AC53">
        <v>3.04</v>
      </c>
      <c r="AD53" s="13">
        <f t="shared" si="82"/>
        <v>1.138157894736842</v>
      </c>
    </row>
    <row r="54" spans="2:30" ht="57.6" x14ac:dyDescent="0.3">
      <c r="B54" s="244" t="s">
        <v>1201</v>
      </c>
      <c r="C54" s="159">
        <f t="shared" si="71"/>
        <v>4393.0635838150292</v>
      </c>
      <c r="D54" s="159">
        <f t="shared" si="64"/>
        <v>1445.0867052023123</v>
      </c>
      <c r="E54" s="5" t="s">
        <v>1270</v>
      </c>
      <c r="F54" s="5" t="s">
        <v>1271</v>
      </c>
      <c r="G54" s="21" t="s">
        <v>45</v>
      </c>
      <c r="H54">
        <v>10</v>
      </c>
      <c r="I54">
        <v>10</v>
      </c>
      <c r="J54" t="s">
        <v>1392</v>
      </c>
      <c r="K54" s="8" t="s">
        <v>186</v>
      </c>
      <c r="L54" s="8" t="s">
        <v>187</v>
      </c>
      <c r="M54" s="8" t="s">
        <v>1466</v>
      </c>
      <c r="N54" s="161">
        <f t="shared" si="76"/>
        <v>1012.9605263157894</v>
      </c>
      <c r="O54" s="161">
        <f t="shared" si="77"/>
        <v>3079.3999999999996</v>
      </c>
      <c r="P54" s="5" t="s">
        <v>25</v>
      </c>
      <c r="Q54" s="277"/>
      <c r="R54">
        <v>20</v>
      </c>
      <c r="S54" s="5" t="s">
        <v>25</v>
      </c>
      <c r="T54" s="200">
        <f t="shared" si="78"/>
        <v>6.24671052631579E-2</v>
      </c>
      <c r="U54" s="12">
        <f t="shared" si="79"/>
        <v>6.6152963342646004E-2</v>
      </c>
      <c r="V54" s="162">
        <f t="shared" si="80"/>
        <v>25.324013157894736</v>
      </c>
      <c r="W54" s="163">
        <f t="shared" si="81"/>
        <v>0.18525219583048527</v>
      </c>
      <c r="X54" s="22">
        <f t="shared" si="72"/>
        <v>0.18990000000000001</v>
      </c>
      <c r="Y54" s="160">
        <f t="shared" si="73"/>
        <v>0.20110500856164384</v>
      </c>
      <c r="Z54">
        <f t="shared" si="74"/>
        <v>76.984999999999999</v>
      </c>
      <c r="AA54" s="6">
        <f t="shared" si="75"/>
        <v>0.56316667532467524</v>
      </c>
      <c r="AB54" s="5" t="s">
        <v>189</v>
      </c>
      <c r="AC54">
        <v>3.04</v>
      </c>
      <c r="AD54" s="13">
        <f t="shared" si="82"/>
        <v>1.138157894736842</v>
      </c>
    </row>
    <row r="55" spans="2:30" ht="57.6" x14ac:dyDescent="0.3">
      <c r="B55" s="244" t="s">
        <v>1201</v>
      </c>
      <c r="C55" s="159">
        <f t="shared" si="71"/>
        <v>8786.1271676300585</v>
      </c>
      <c r="D55" s="159">
        <f t="shared" si="64"/>
        <v>2890.1734104046245</v>
      </c>
      <c r="E55" s="5" t="s">
        <v>1272</v>
      </c>
      <c r="F55" s="5" t="s">
        <v>1273</v>
      </c>
      <c r="G55" s="21" t="s">
        <v>45</v>
      </c>
      <c r="H55">
        <v>10</v>
      </c>
      <c r="I55">
        <v>10</v>
      </c>
      <c r="J55" t="s">
        <v>1392</v>
      </c>
      <c r="K55" s="8" t="s">
        <v>186</v>
      </c>
      <c r="L55" s="8" t="s">
        <v>187</v>
      </c>
      <c r="M55" s="8" t="s">
        <v>1466</v>
      </c>
      <c r="N55" s="161">
        <f t="shared" si="76"/>
        <v>921.90789473684208</v>
      </c>
      <c r="O55" s="161">
        <f t="shared" si="77"/>
        <v>2802.6</v>
      </c>
      <c r="P55" s="5" t="s">
        <v>25</v>
      </c>
      <c r="Q55" s="277"/>
      <c r="R55">
        <v>20</v>
      </c>
      <c r="S55" s="5" t="s">
        <v>25</v>
      </c>
      <c r="T55" s="200">
        <f t="shared" si="78"/>
        <v>6.24671052631579E-2</v>
      </c>
      <c r="U55" s="12">
        <f t="shared" si="79"/>
        <v>6.5821650256849315E-2</v>
      </c>
      <c r="V55" s="162">
        <f t="shared" si="80"/>
        <v>23.047697368421051</v>
      </c>
      <c r="W55" s="163">
        <f t="shared" si="81"/>
        <v>0.16899279733424472</v>
      </c>
      <c r="X55" s="22">
        <f t="shared" si="72"/>
        <v>0.18990000000000001</v>
      </c>
      <c r="Y55" s="160">
        <f t="shared" si="73"/>
        <v>0.20009781678082192</v>
      </c>
      <c r="Z55">
        <f t="shared" si="74"/>
        <v>70.064999999999998</v>
      </c>
      <c r="AA55" s="6">
        <f t="shared" si="75"/>
        <v>0.51373810389610397</v>
      </c>
      <c r="AB55" s="5" t="s">
        <v>189</v>
      </c>
      <c r="AC55">
        <v>3.04</v>
      </c>
      <c r="AD55" s="13">
        <f t="shared" si="82"/>
        <v>1.138157894736842</v>
      </c>
    </row>
    <row r="56" spans="2:30" ht="57.6" x14ac:dyDescent="0.3">
      <c r="B56" s="245" t="s">
        <v>1201</v>
      </c>
      <c r="C56" s="176">
        <f t="shared" si="71"/>
        <v>17572.254335260117</v>
      </c>
      <c r="D56" s="176">
        <f t="shared" si="64"/>
        <v>5780.346820809249</v>
      </c>
      <c r="E56" s="32" t="s">
        <v>1274</v>
      </c>
      <c r="F56" s="32" t="s">
        <v>1275</v>
      </c>
      <c r="G56" s="43" t="s">
        <v>45</v>
      </c>
      <c r="H56" s="35">
        <v>10</v>
      </c>
      <c r="I56" s="35">
        <v>10</v>
      </c>
      <c r="J56" s="35" t="s">
        <v>1392</v>
      </c>
      <c r="K56" s="76" t="s">
        <v>186</v>
      </c>
      <c r="L56" s="76" t="s">
        <v>187</v>
      </c>
      <c r="M56" s="76" t="s">
        <v>1466</v>
      </c>
      <c r="N56" s="161">
        <f t="shared" si="76"/>
        <v>842.23684210526312</v>
      </c>
      <c r="O56" s="161">
        <f t="shared" si="77"/>
        <v>2560.4</v>
      </c>
      <c r="P56" s="32" t="s">
        <v>25</v>
      </c>
      <c r="Q56" s="278"/>
      <c r="R56" s="35">
        <v>20</v>
      </c>
      <c r="S56" s="32" t="s">
        <v>25</v>
      </c>
      <c r="T56" s="217">
        <f t="shared" si="78"/>
        <v>6.24671052631579E-2</v>
      </c>
      <c r="U56" s="12">
        <f t="shared" si="79"/>
        <v>6.5531751306777228E-2</v>
      </c>
      <c r="V56" s="162">
        <f t="shared" si="80"/>
        <v>21.055921052631579</v>
      </c>
      <c r="W56" s="163">
        <f t="shared" si="81"/>
        <v>0.15476582365003416</v>
      </c>
      <c r="X56" s="44">
        <f t="shared" si="72"/>
        <v>0.18990000000000001</v>
      </c>
      <c r="Y56" s="177">
        <f t="shared" si="73"/>
        <v>0.19921652397260278</v>
      </c>
      <c r="Z56" s="35">
        <f t="shared" si="74"/>
        <v>64.010000000000005</v>
      </c>
      <c r="AA56" s="41">
        <f t="shared" si="75"/>
        <v>0.47048810389610385</v>
      </c>
      <c r="AB56" s="32" t="s">
        <v>189</v>
      </c>
      <c r="AC56" s="35">
        <v>3.04</v>
      </c>
      <c r="AD56" s="64">
        <f t="shared" si="82"/>
        <v>1.138157894736842</v>
      </c>
    </row>
    <row r="57" spans="2:30" ht="57.6" x14ac:dyDescent="0.3">
      <c r="B57" s="242" t="s">
        <v>1204</v>
      </c>
      <c r="C57" s="179">
        <v>1000</v>
      </c>
      <c r="D57" s="180">
        <f t="shared" ref="D57:D88" si="83">$C57/$AC57</f>
        <v>217.39130434782609</v>
      </c>
      <c r="E57" s="5" t="s">
        <v>1102</v>
      </c>
      <c r="F57" s="5" t="s">
        <v>1103</v>
      </c>
      <c r="G57" s="182" t="s">
        <v>45</v>
      </c>
      <c r="H57" s="186">
        <v>10</v>
      </c>
      <c r="I57" s="186">
        <v>10</v>
      </c>
      <c r="J57" s="186" t="s">
        <v>1392</v>
      </c>
      <c r="K57" s="195" t="s">
        <v>186</v>
      </c>
      <c r="L57" s="195" t="s">
        <v>187</v>
      </c>
      <c r="M57" s="195" t="s">
        <v>1466</v>
      </c>
      <c r="N57" s="196">
        <v>3078</v>
      </c>
      <c r="O57" s="196">
        <f t="shared" ref="O57:O62" si="84">$N57*AC57</f>
        <v>14158.8</v>
      </c>
      <c r="P57" s="181" t="s">
        <v>453</v>
      </c>
      <c r="Q57" s="276" t="s">
        <v>188</v>
      </c>
      <c r="R57" s="186">
        <v>20</v>
      </c>
      <c r="S57" s="181" t="s">
        <v>25</v>
      </c>
      <c r="T57" s="200">
        <f>0.1899/AC57</f>
        <v>4.128260869565218E-2</v>
      </c>
      <c r="U57" s="197">
        <f t="shared" ref="U57:U62" si="85">$N57*47%/(8760*97%*20)+$T57</f>
        <v>4.9795177541860344E-2</v>
      </c>
      <c r="V57" s="198">
        <f t="shared" si="70"/>
        <v>76.95</v>
      </c>
      <c r="W57" s="199">
        <f t="shared" ref="W57:W128" si="86">(4/60/4.5*0.1899+$V57*0.25/35)</f>
        <v>0.55245619047619055</v>
      </c>
      <c r="X57" s="188">
        <f t="shared" si="57"/>
        <v>0.18990000000000001</v>
      </c>
      <c r="Y57" s="185">
        <f t="shared" si="58"/>
        <v>0.22905781669255756</v>
      </c>
      <c r="Z57" s="186">
        <f t="shared" si="59"/>
        <v>353.96999999999997</v>
      </c>
      <c r="AA57" s="187">
        <f t="shared" si="60"/>
        <v>2.5412984761904762</v>
      </c>
      <c r="AB57" s="181" t="s">
        <v>189</v>
      </c>
      <c r="AC57" s="11">
        <v>4.5999999999999996</v>
      </c>
    </row>
    <row r="58" spans="2:30" ht="72" customHeight="1" x14ac:dyDescent="0.3">
      <c r="B58" s="242" t="s">
        <v>1204</v>
      </c>
      <c r="C58" s="3">
        <v>2000</v>
      </c>
      <c r="D58" s="159">
        <f t="shared" si="83"/>
        <v>429.18454935622316</v>
      </c>
      <c r="E58" s="5" t="s">
        <v>1104</v>
      </c>
      <c r="F58" s="5" t="s">
        <v>1105</v>
      </c>
      <c r="G58" s="21" t="s">
        <v>45</v>
      </c>
      <c r="H58">
        <v>10</v>
      </c>
      <c r="I58">
        <v>10</v>
      </c>
      <c r="J58" t="s">
        <v>1392</v>
      </c>
      <c r="K58" s="8" t="s">
        <v>186</v>
      </c>
      <c r="L58" s="8" t="s">
        <v>187</v>
      </c>
      <c r="M58" s="8" t="s">
        <v>1466</v>
      </c>
      <c r="N58" s="161">
        <v>2245</v>
      </c>
      <c r="O58" s="161">
        <f t="shared" si="84"/>
        <v>10461.700000000001</v>
      </c>
      <c r="P58" s="5" t="s">
        <v>453</v>
      </c>
      <c r="Q58" s="277"/>
      <c r="R58">
        <v>20</v>
      </c>
      <c r="S58" s="5" t="s">
        <v>25</v>
      </c>
      <c r="T58" s="200">
        <f t="shared" ref="T58:T62" si="87">0.1899/AC58</f>
        <v>4.075107296137339E-2</v>
      </c>
      <c r="U58" s="12">
        <f t="shared" si="85"/>
        <v>4.6959882922301695E-2</v>
      </c>
      <c r="V58" s="162">
        <f t="shared" si="70"/>
        <v>56.125</v>
      </c>
      <c r="W58" s="163">
        <f t="shared" si="86"/>
        <v>0.4037061904761905</v>
      </c>
      <c r="X58" s="22">
        <f t="shared" si="57"/>
        <v>0.18990000000000001</v>
      </c>
      <c r="Y58" s="160">
        <f t="shared" si="58"/>
        <v>0.21883305441792592</v>
      </c>
      <c r="Z58">
        <f t="shared" si="59"/>
        <v>261.54250000000002</v>
      </c>
      <c r="AA58" s="6">
        <f t="shared" si="60"/>
        <v>1.8812708476190478</v>
      </c>
      <c r="AB58" s="5" t="s">
        <v>189</v>
      </c>
      <c r="AC58" s="11">
        <v>4.66</v>
      </c>
    </row>
    <row r="59" spans="2:30" ht="72" customHeight="1" x14ac:dyDescent="0.3">
      <c r="B59" s="242" t="s">
        <v>1204</v>
      </c>
      <c r="C59" s="3">
        <v>5000</v>
      </c>
      <c r="D59" s="159">
        <f t="shared" si="83"/>
        <v>1072.9613733905578</v>
      </c>
      <c r="E59" s="5" t="s">
        <v>1106</v>
      </c>
      <c r="F59" s="5" t="s">
        <v>1107</v>
      </c>
      <c r="G59" s="21" t="s">
        <v>45</v>
      </c>
      <c r="H59">
        <v>10</v>
      </c>
      <c r="I59">
        <v>10</v>
      </c>
      <c r="J59" t="s">
        <v>1392</v>
      </c>
      <c r="K59" s="8" t="s">
        <v>186</v>
      </c>
      <c r="L59" s="8" t="s">
        <v>187</v>
      </c>
      <c r="M59" s="8" t="s">
        <v>1466</v>
      </c>
      <c r="N59" s="161">
        <v>1480</v>
      </c>
      <c r="O59" s="161">
        <f t="shared" si="84"/>
        <v>6896.8</v>
      </c>
      <c r="P59" s="5" t="s">
        <v>453</v>
      </c>
      <c r="Q59" s="277"/>
      <c r="R59">
        <v>20</v>
      </c>
      <c r="S59" s="5" t="s">
        <v>25</v>
      </c>
      <c r="T59" s="200">
        <f t="shared" si="87"/>
        <v>4.075107296137339E-2</v>
      </c>
      <c r="U59" s="12">
        <f t="shared" si="85"/>
        <v>4.4844185986840604E-2</v>
      </c>
      <c r="V59" s="162">
        <f t="shared" si="70"/>
        <v>37</v>
      </c>
      <c r="W59" s="163">
        <f t="shared" si="86"/>
        <v>0.26709904761904762</v>
      </c>
      <c r="X59" s="22">
        <f t="shared" si="57"/>
        <v>0.18990000000000001</v>
      </c>
      <c r="Y59" s="160">
        <f t="shared" si="58"/>
        <v>0.20897390669867721</v>
      </c>
      <c r="Z59">
        <f t="shared" si="59"/>
        <v>172.42000000000002</v>
      </c>
      <c r="AA59" s="6">
        <f t="shared" si="60"/>
        <v>1.244681561904762</v>
      </c>
      <c r="AB59" s="5" t="s">
        <v>189</v>
      </c>
      <c r="AC59" s="11">
        <v>4.66</v>
      </c>
    </row>
    <row r="60" spans="2:30" ht="72" customHeight="1" x14ac:dyDescent="0.3">
      <c r="B60" s="242" t="s">
        <v>1204</v>
      </c>
      <c r="C60" s="3">
        <v>10000</v>
      </c>
      <c r="D60" s="159">
        <f t="shared" si="83"/>
        <v>2145.9227467811156</v>
      </c>
      <c r="E60" s="5" t="s">
        <v>1108</v>
      </c>
      <c r="F60" s="5" t="s">
        <v>1109</v>
      </c>
      <c r="G60" s="21" t="s">
        <v>45</v>
      </c>
      <c r="H60">
        <v>10</v>
      </c>
      <c r="I60">
        <v>10</v>
      </c>
      <c r="J60" t="s">
        <v>1392</v>
      </c>
      <c r="K60" s="8" t="s">
        <v>186</v>
      </c>
      <c r="L60" s="8" t="s">
        <v>187</v>
      </c>
      <c r="M60" s="8" t="s">
        <v>1466</v>
      </c>
      <c r="N60" s="161">
        <v>1080</v>
      </c>
      <c r="O60" s="161">
        <f t="shared" si="84"/>
        <v>5032.8</v>
      </c>
      <c r="P60" s="5" t="s">
        <v>25</v>
      </c>
      <c r="Q60" s="277"/>
      <c r="R60">
        <v>20</v>
      </c>
      <c r="S60" s="5" t="s">
        <v>25</v>
      </c>
      <c r="T60" s="200">
        <f t="shared" si="87"/>
        <v>4.075107296137339E-2</v>
      </c>
      <c r="U60" s="12">
        <f t="shared" si="85"/>
        <v>4.3737939223200815E-2</v>
      </c>
      <c r="V60" s="162">
        <f t="shared" si="70"/>
        <v>27</v>
      </c>
      <c r="W60" s="163">
        <f t="shared" si="86"/>
        <v>0.1956704761904762</v>
      </c>
      <c r="X60" s="22">
        <f t="shared" si="57"/>
        <v>0.18990000000000001</v>
      </c>
      <c r="Y60" s="160">
        <f t="shared" si="58"/>
        <v>0.2038187967801158</v>
      </c>
      <c r="Z60">
        <f t="shared" si="59"/>
        <v>125.82000000000001</v>
      </c>
      <c r="AA60" s="6">
        <f t="shared" si="60"/>
        <v>0.91182441904761913</v>
      </c>
      <c r="AB60" s="5" t="s">
        <v>189</v>
      </c>
      <c r="AC60" s="11">
        <v>4.66</v>
      </c>
    </row>
    <row r="61" spans="2:30" ht="72" customHeight="1" x14ac:dyDescent="0.3">
      <c r="B61" s="242" t="s">
        <v>1204</v>
      </c>
      <c r="C61" s="3">
        <v>20000</v>
      </c>
      <c r="D61" s="159">
        <f t="shared" si="83"/>
        <v>4291.8454935622312</v>
      </c>
      <c r="E61" s="5" t="s">
        <v>1110</v>
      </c>
      <c r="F61" s="5" t="s">
        <v>1111</v>
      </c>
      <c r="G61" s="21" t="s">
        <v>45</v>
      </c>
      <c r="H61">
        <v>10</v>
      </c>
      <c r="I61">
        <v>10</v>
      </c>
      <c r="J61" t="s">
        <v>1392</v>
      </c>
      <c r="K61" s="8" t="s">
        <v>186</v>
      </c>
      <c r="L61" s="8" t="s">
        <v>187</v>
      </c>
      <c r="M61" s="8" t="s">
        <v>1466</v>
      </c>
      <c r="N61" s="161">
        <v>790</v>
      </c>
      <c r="O61" s="161">
        <f t="shared" si="84"/>
        <v>3681.4</v>
      </c>
      <c r="P61" s="5" t="s">
        <v>25</v>
      </c>
      <c r="Q61" s="277"/>
      <c r="R61">
        <v>20</v>
      </c>
      <c r="S61" s="5" t="s">
        <v>25</v>
      </c>
      <c r="T61" s="200">
        <f t="shared" si="87"/>
        <v>4.075107296137339E-2</v>
      </c>
      <c r="U61" s="12">
        <f t="shared" si="85"/>
        <v>4.2935910319561968E-2</v>
      </c>
      <c r="V61" s="162">
        <f t="shared" si="70"/>
        <v>19.75</v>
      </c>
      <c r="W61" s="163">
        <f t="shared" si="86"/>
        <v>0.1438847619047619</v>
      </c>
      <c r="X61" s="22">
        <f t="shared" si="57"/>
        <v>0.18990000000000001</v>
      </c>
      <c r="Y61" s="160">
        <f t="shared" si="58"/>
        <v>0.20008134208915879</v>
      </c>
      <c r="Z61">
        <f t="shared" si="59"/>
        <v>92.034999999999997</v>
      </c>
      <c r="AA61" s="6">
        <f t="shared" si="60"/>
        <v>0.67050299047619044</v>
      </c>
      <c r="AB61" s="5" t="s">
        <v>189</v>
      </c>
      <c r="AC61" s="11">
        <v>4.66</v>
      </c>
    </row>
    <row r="62" spans="2:30" ht="72" customHeight="1" x14ac:dyDescent="0.3">
      <c r="B62" s="174" t="s">
        <v>1204</v>
      </c>
      <c r="C62" s="30">
        <v>50000</v>
      </c>
      <c r="D62" s="176">
        <f t="shared" si="83"/>
        <v>10729.613733905579</v>
      </c>
      <c r="E62" s="32" t="s">
        <v>1112</v>
      </c>
      <c r="F62" s="32" t="s">
        <v>1113</v>
      </c>
      <c r="G62" s="43" t="s">
        <v>45</v>
      </c>
      <c r="H62" s="35">
        <v>10</v>
      </c>
      <c r="I62" s="35">
        <v>10</v>
      </c>
      <c r="J62" s="35" t="s">
        <v>1392</v>
      </c>
      <c r="K62" s="76" t="s">
        <v>186</v>
      </c>
      <c r="L62" s="76" t="s">
        <v>187</v>
      </c>
      <c r="M62" s="76" t="s">
        <v>1466</v>
      </c>
      <c r="N62" s="201">
        <v>520</v>
      </c>
      <c r="O62" s="201">
        <f t="shared" si="84"/>
        <v>2423.2000000000003</v>
      </c>
      <c r="P62" s="32" t="s">
        <v>25</v>
      </c>
      <c r="Q62" s="278"/>
      <c r="R62" s="35">
        <v>20</v>
      </c>
      <c r="S62" s="32" t="s">
        <v>25</v>
      </c>
      <c r="T62" s="217">
        <f t="shared" si="87"/>
        <v>4.075107296137339E-2</v>
      </c>
      <c r="U62" s="164">
        <f t="shared" si="85"/>
        <v>4.2189193754105112E-2</v>
      </c>
      <c r="V62" s="202">
        <f t="shared" si="70"/>
        <v>13</v>
      </c>
      <c r="W62" s="203">
        <f t="shared" si="86"/>
        <v>9.5670476190476195E-2</v>
      </c>
      <c r="X62" s="44">
        <f t="shared" si="57"/>
        <v>0.18990000000000001</v>
      </c>
      <c r="Y62" s="177">
        <f t="shared" si="58"/>
        <v>0.19660164289412982</v>
      </c>
      <c r="Z62" s="35">
        <f t="shared" si="59"/>
        <v>60.58</v>
      </c>
      <c r="AA62" s="41">
        <f t="shared" si="60"/>
        <v>0.4458244190476191</v>
      </c>
      <c r="AB62" s="32" t="s">
        <v>189</v>
      </c>
      <c r="AC62" s="60">
        <v>4.66</v>
      </c>
      <c r="AD62" s="35"/>
    </row>
    <row r="63" spans="2:30" ht="57.6" x14ac:dyDescent="0.3">
      <c r="B63" s="243" t="s">
        <v>1205</v>
      </c>
      <c r="C63" s="159">
        <f t="shared" ref="C63:C68" si="88">C57/AD63</f>
        <v>1030.4347826086957</v>
      </c>
      <c r="D63" s="180">
        <f t="shared" si="83"/>
        <v>217.39130434782609</v>
      </c>
      <c r="E63" s="5" t="s">
        <v>1234</v>
      </c>
      <c r="F63" s="5" t="s">
        <v>1235</v>
      </c>
      <c r="G63" s="182" t="s">
        <v>45</v>
      </c>
      <c r="H63" s="186">
        <v>10</v>
      </c>
      <c r="I63" s="186">
        <v>10</v>
      </c>
      <c r="J63" s="186" t="s">
        <v>1392</v>
      </c>
      <c r="K63" s="195" t="s">
        <v>186</v>
      </c>
      <c r="L63" s="195" t="s">
        <v>187</v>
      </c>
      <c r="M63" s="195" t="s">
        <v>1466</v>
      </c>
      <c r="N63" s="161">
        <f>N57*AD63</f>
        <v>2987.0886075949365</v>
      </c>
      <c r="O63" s="196">
        <f t="shared" ref="O63:O68" si="89">$N63*AC63</f>
        <v>14158.8</v>
      </c>
      <c r="P63" s="181" t="s">
        <v>453</v>
      </c>
      <c r="Q63" s="276" t="s">
        <v>188</v>
      </c>
      <c r="R63" s="186">
        <v>20</v>
      </c>
      <c r="S63" s="181" t="s">
        <v>25</v>
      </c>
      <c r="T63" s="200">
        <f>T57*AD63</f>
        <v>4.0063291139240509E-2</v>
      </c>
      <c r="U63" s="12">
        <f>U57*AD63</f>
        <v>4.8324433901383454E-2</v>
      </c>
      <c r="V63" s="162">
        <f>V57*AD63</f>
        <v>74.677215189873408</v>
      </c>
      <c r="W63" s="163">
        <f>W57*AD63</f>
        <v>0.53613891902752664</v>
      </c>
      <c r="X63" s="188">
        <f t="shared" ref="X63:X68" si="90">T63*AC63</f>
        <v>0.18990000000000001</v>
      </c>
      <c r="Y63" s="185">
        <f t="shared" ref="Y63:Y68" si="91">U63*AC63</f>
        <v>0.22905781669255759</v>
      </c>
      <c r="Z63" s="186">
        <f t="shared" ref="Z63:Z68" si="92">V63*AC63</f>
        <v>353.96999999999997</v>
      </c>
      <c r="AA63" s="187">
        <f t="shared" ref="AA63:AA68" si="93">W63*AC63</f>
        <v>2.5412984761904762</v>
      </c>
      <c r="AB63" s="181" t="s">
        <v>189</v>
      </c>
      <c r="AC63" s="11">
        <v>4.74</v>
      </c>
      <c r="AD63" s="13">
        <f>AC57/AC63</f>
        <v>0.97046413502109696</v>
      </c>
    </row>
    <row r="64" spans="2:30" ht="72" customHeight="1" x14ac:dyDescent="0.3">
      <c r="B64" s="243" t="s">
        <v>1205</v>
      </c>
      <c r="C64" s="159">
        <f t="shared" si="88"/>
        <v>2072.961373390558</v>
      </c>
      <c r="D64" s="159">
        <f t="shared" si="83"/>
        <v>429.18454935622321</v>
      </c>
      <c r="E64" s="5" t="s">
        <v>1236</v>
      </c>
      <c r="F64" s="5" t="s">
        <v>1237</v>
      </c>
      <c r="G64" s="21" t="s">
        <v>45</v>
      </c>
      <c r="H64">
        <v>10</v>
      </c>
      <c r="I64">
        <v>10</v>
      </c>
      <c r="J64" t="s">
        <v>1392</v>
      </c>
      <c r="K64" s="8" t="s">
        <v>186</v>
      </c>
      <c r="L64" s="8" t="s">
        <v>187</v>
      </c>
      <c r="M64" s="8" t="s">
        <v>1466</v>
      </c>
      <c r="N64" s="161">
        <f t="shared" ref="N64:N68" si="94">N58*AD64</f>
        <v>2165.9834368530019</v>
      </c>
      <c r="O64" s="161">
        <f t="shared" si="89"/>
        <v>10461.699999999999</v>
      </c>
      <c r="P64" s="5" t="s">
        <v>453</v>
      </c>
      <c r="Q64" s="277"/>
      <c r="R64">
        <v>20</v>
      </c>
      <c r="S64" s="5" t="s">
        <v>25</v>
      </c>
      <c r="T64" s="200">
        <f t="shared" ref="T64:T68" si="95">T58*AD64</f>
        <v>3.9316770186335399E-2</v>
      </c>
      <c r="U64" s="12">
        <f t="shared" ref="U64:U68" si="96">U58*AD64</f>
        <v>4.5307050604125446E-2</v>
      </c>
      <c r="V64" s="162">
        <f t="shared" ref="V64:V68" si="97">V58*AD64</f>
        <v>54.149585921325048</v>
      </c>
      <c r="W64" s="163">
        <f t="shared" ref="W64:W68" si="98">W58*AD64</f>
        <v>0.38949706990042393</v>
      </c>
      <c r="X64" s="22">
        <f t="shared" si="90"/>
        <v>0.18989999999999999</v>
      </c>
      <c r="Y64" s="160">
        <f t="shared" si="91"/>
        <v>0.21883305441792592</v>
      </c>
      <c r="Z64">
        <f t="shared" si="92"/>
        <v>261.54249999999996</v>
      </c>
      <c r="AA64" s="6">
        <f t="shared" si="93"/>
        <v>1.8812708476190476</v>
      </c>
      <c r="AB64" s="5" t="s">
        <v>189</v>
      </c>
      <c r="AC64" s="11">
        <v>4.83</v>
      </c>
      <c r="AD64" s="13">
        <f t="shared" ref="AD64:AD68" si="99">AC58/AC64</f>
        <v>0.96480331262939956</v>
      </c>
    </row>
    <row r="65" spans="2:30" ht="72" customHeight="1" x14ac:dyDescent="0.3">
      <c r="B65" s="243" t="s">
        <v>1205</v>
      </c>
      <c r="C65" s="159">
        <f t="shared" si="88"/>
        <v>5182.4034334763946</v>
      </c>
      <c r="D65" s="159">
        <f t="shared" si="83"/>
        <v>1072.9613733905578</v>
      </c>
      <c r="E65" s="5" t="s">
        <v>1238</v>
      </c>
      <c r="F65" s="5" t="s">
        <v>1239</v>
      </c>
      <c r="G65" s="21" t="s">
        <v>45</v>
      </c>
      <c r="H65">
        <v>10</v>
      </c>
      <c r="I65">
        <v>10</v>
      </c>
      <c r="J65" t="s">
        <v>1392</v>
      </c>
      <c r="K65" s="8" t="s">
        <v>186</v>
      </c>
      <c r="L65" s="8" t="s">
        <v>187</v>
      </c>
      <c r="M65" s="8" t="s">
        <v>1466</v>
      </c>
      <c r="N65" s="161">
        <f t="shared" si="94"/>
        <v>1427.9089026915112</v>
      </c>
      <c r="O65" s="161">
        <f t="shared" si="89"/>
        <v>6896.7999999999993</v>
      </c>
      <c r="P65" s="5" t="s">
        <v>453</v>
      </c>
      <c r="Q65" s="277"/>
      <c r="R65">
        <v>20</v>
      </c>
      <c r="S65" s="5" t="s">
        <v>25</v>
      </c>
      <c r="T65" s="200">
        <f t="shared" si="95"/>
        <v>3.9316770186335399E-2</v>
      </c>
      <c r="U65" s="12">
        <f t="shared" si="96"/>
        <v>4.3265819192272716E-2</v>
      </c>
      <c r="V65" s="162">
        <f t="shared" si="97"/>
        <v>35.697722567287784</v>
      </c>
      <c r="W65" s="163">
        <f t="shared" si="98"/>
        <v>0.25769804594301488</v>
      </c>
      <c r="X65" s="22">
        <f t="shared" si="90"/>
        <v>0.18989999999999999</v>
      </c>
      <c r="Y65" s="160">
        <f t="shared" si="91"/>
        <v>0.20897390669867721</v>
      </c>
      <c r="Z65">
        <f t="shared" si="92"/>
        <v>172.42</v>
      </c>
      <c r="AA65" s="6">
        <f t="shared" si="93"/>
        <v>1.2446815619047618</v>
      </c>
      <c r="AB65" s="5" t="s">
        <v>189</v>
      </c>
      <c r="AC65" s="11">
        <v>4.83</v>
      </c>
      <c r="AD65" s="13">
        <f t="shared" si="99"/>
        <v>0.96480331262939956</v>
      </c>
    </row>
    <row r="66" spans="2:30" ht="72" customHeight="1" x14ac:dyDescent="0.3">
      <c r="B66" s="243" t="s">
        <v>1205</v>
      </c>
      <c r="C66" s="159">
        <f t="shared" si="88"/>
        <v>10364.806866952789</v>
      </c>
      <c r="D66" s="159">
        <f t="shared" si="83"/>
        <v>2145.9227467811156</v>
      </c>
      <c r="E66" s="5" t="s">
        <v>1240</v>
      </c>
      <c r="F66" s="5" t="s">
        <v>1241</v>
      </c>
      <c r="G66" s="21" t="s">
        <v>45</v>
      </c>
      <c r="H66">
        <v>10</v>
      </c>
      <c r="I66">
        <v>10</v>
      </c>
      <c r="J66" t="s">
        <v>1392</v>
      </c>
      <c r="K66" s="8" t="s">
        <v>186</v>
      </c>
      <c r="L66" s="8" t="s">
        <v>187</v>
      </c>
      <c r="M66" s="8" t="s">
        <v>1466</v>
      </c>
      <c r="N66" s="161">
        <f t="shared" si="94"/>
        <v>1041.9875776397516</v>
      </c>
      <c r="O66" s="161">
        <f t="shared" si="89"/>
        <v>5032.8</v>
      </c>
      <c r="P66" s="5" t="s">
        <v>25</v>
      </c>
      <c r="Q66" s="277"/>
      <c r="R66">
        <v>20</v>
      </c>
      <c r="S66" s="5" t="s">
        <v>25</v>
      </c>
      <c r="T66" s="200">
        <f t="shared" si="95"/>
        <v>3.9316770186335399E-2</v>
      </c>
      <c r="U66" s="12">
        <f t="shared" si="96"/>
        <v>4.2198508650127496E-2</v>
      </c>
      <c r="V66" s="162">
        <f t="shared" si="97"/>
        <v>26.049689440993788</v>
      </c>
      <c r="W66" s="163">
        <f t="shared" si="98"/>
        <v>0.18878352361234349</v>
      </c>
      <c r="X66" s="22">
        <f t="shared" si="90"/>
        <v>0.18989999999999999</v>
      </c>
      <c r="Y66" s="160">
        <f t="shared" si="91"/>
        <v>0.2038187967801158</v>
      </c>
      <c r="Z66">
        <f t="shared" si="92"/>
        <v>125.82</v>
      </c>
      <c r="AA66" s="6">
        <f t="shared" si="93"/>
        <v>0.91182441904761902</v>
      </c>
      <c r="AB66" s="5" t="s">
        <v>189</v>
      </c>
      <c r="AC66" s="11">
        <v>4.83</v>
      </c>
      <c r="AD66" s="13">
        <f t="shared" si="99"/>
        <v>0.96480331262939956</v>
      </c>
    </row>
    <row r="67" spans="2:30" ht="72" customHeight="1" x14ac:dyDescent="0.3">
      <c r="B67" s="243" t="s">
        <v>1205</v>
      </c>
      <c r="C67" s="159">
        <f t="shared" si="88"/>
        <v>20729.613733905579</v>
      </c>
      <c r="D67" s="159">
        <f t="shared" si="83"/>
        <v>4291.8454935622312</v>
      </c>
      <c r="E67" s="5" t="s">
        <v>1242</v>
      </c>
      <c r="F67" s="5" t="s">
        <v>1243</v>
      </c>
      <c r="G67" s="21" t="s">
        <v>45</v>
      </c>
      <c r="H67">
        <v>10</v>
      </c>
      <c r="I67">
        <v>10</v>
      </c>
      <c r="J67" t="s">
        <v>1392</v>
      </c>
      <c r="K67" s="8" t="s">
        <v>186</v>
      </c>
      <c r="L67" s="8" t="s">
        <v>187</v>
      </c>
      <c r="M67" s="8" t="s">
        <v>1466</v>
      </c>
      <c r="N67" s="161">
        <f t="shared" si="94"/>
        <v>762.19461697722568</v>
      </c>
      <c r="O67" s="161">
        <f t="shared" si="89"/>
        <v>3681.4</v>
      </c>
      <c r="P67" s="5" t="s">
        <v>25</v>
      </c>
      <c r="Q67" s="277"/>
      <c r="R67">
        <v>20</v>
      </c>
      <c r="S67" s="5" t="s">
        <v>25</v>
      </c>
      <c r="T67" s="200">
        <f t="shared" si="95"/>
        <v>3.9316770186335399E-2</v>
      </c>
      <c r="U67" s="12">
        <f t="shared" si="96"/>
        <v>4.1424708507072208E-2</v>
      </c>
      <c r="V67" s="162">
        <f t="shared" si="97"/>
        <v>19.054865424430641</v>
      </c>
      <c r="W67" s="163">
        <f t="shared" si="98"/>
        <v>0.13882049492260673</v>
      </c>
      <c r="X67" s="22">
        <f t="shared" si="90"/>
        <v>0.18989999999999999</v>
      </c>
      <c r="Y67" s="160">
        <f t="shared" si="91"/>
        <v>0.20008134208915876</v>
      </c>
      <c r="Z67">
        <f t="shared" si="92"/>
        <v>92.034999999999997</v>
      </c>
      <c r="AA67" s="6">
        <f t="shared" si="93"/>
        <v>0.67050299047619055</v>
      </c>
      <c r="AB67" s="5" t="s">
        <v>189</v>
      </c>
      <c r="AC67" s="11">
        <v>4.83</v>
      </c>
      <c r="AD67" s="13">
        <f t="shared" si="99"/>
        <v>0.96480331262939956</v>
      </c>
    </row>
    <row r="68" spans="2:30" ht="72" customHeight="1" x14ac:dyDescent="0.3">
      <c r="B68" s="246" t="s">
        <v>1205</v>
      </c>
      <c r="C68" s="176">
        <f t="shared" si="88"/>
        <v>51824.03433476395</v>
      </c>
      <c r="D68" s="176">
        <f t="shared" si="83"/>
        <v>10729.61373390558</v>
      </c>
      <c r="E68" s="32" t="s">
        <v>1244</v>
      </c>
      <c r="F68" s="32" t="s">
        <v>1245</v>
      </c>
      <c r="G68" s="43" t="s">
        <v>45</v>
      </c>
      <c r="H68" s="35">
        <v>10</v>
      </c>
      <c r="I68" s="35">
        <v>10</v>
      </c>
      <c r="J68" s="35" t="s">
        <v>1392</v>
      </c>
      <c r="K68" s="76" t="s">
        <v>186</v>
      </c>
      <c r="L68" s="76" t="s">
        <v>187</v>
      </c>
      <c r="M68" s="76" t="s">
        <v>1466</v>
      </c>
      <c r="N68" s="201">
        <f t="shared" si="94"/>
        <v>501.69772256728777</v>
      </c>
      <c r="O68" s="201">
        <f t="shared" si="89"/>
        <v>2423.1999999999998</v>
      </c>
      <c r="P68" s="32" t="s">
        <v>25</v>
      </c>
      <c r="Q68" s="278"/>
      <c r="R68" s="35">
        <v>20</v>
      </c>
      <c r="S68" s="32" t="s">
        <v>25</v>
      </c>
      <c r="T68" s="217">
        <f t="shared" si="95"/>
        <v>3.9316770186335399E-2</v>
      </c>
      <c r="U68" s="164">
        <f t="shared" si="96"/>
        <v>4.0704273891124187E-2</v>
      </c>
      <c r="V68" s="202">
        <f t="shared" si="97"/>
        <v>12.542443064182194</v>
      </c>
      <c r="W68" s="203">
        <f t="shared" si="98"/>
        <v>9.2303192349403526E-2</v>
      </c>
      <c r="X68" s="44">
        <f t="shared" si="90"/>
        <v>0.18989999999999999</v>
      </c>
      <c r="Y68" s="177">
        <f t="shared" si="91"/>
        <v>0.19660164289412982</v>
      </c>
      <c r="Z68" s="35">
        <f t="shared" si="92"/>
        <v>60.58</v>
      </c>
      <c r="AA68" s="41">
        <f t="shared" si="93"/>
        <v>0.44582441904761905</v>
      </c>
      <c r="AB68" s="32" t="s">
        <v>189</v>
      </c>
      <c r="AC68" s="60">
        <v>4.83</v>
      </c>
      <c r="AD68" s="64">
        <f t="shared" si="99"/>
        <v>0.96480331262939956</v>
      </c>
    </row>
    <row r="69" spans="2:30" ht="72" customHeight="1" x14ac:dyDescent="0.3">
      <c r="B69" s="107" t="s">
        <v>1206</v>
      </c>
      <c r="C69" s="3">
        <v>5</v>
      </c>
      <c r="D69" s="159">
        <f t="shared" si="83"/>
        <v>1.1547344110854503</v>
      </c>
      <c r="E69" s="5" t="s">
        <v>1080</v>
      </c>
      <c r="F69" s="5" t="s">
        <v>1081</v>
      </c>
      <c r="G69" s="21" t="s">
        <v>45</v>
      </c>
      <c r="H69">
        <v>10</v>
      </c>
      <c r="I69">
        <v>10</v>
      </c>
      <c r="J69" t="s">
        <v>1392</v>
      </c>
      <c r="K69" s="8" t="s">
        <v>186</v>
      </c>
      <c r="L69" s="8" t="s">
        <v>187</v>
      </c>
      <c r="M69" s="8" t="s">
        <v>1466</v>
      </c>
      <c r="N69">
        <v>4647</v>
      </c>
      <c r="O69" s="161">
        <f t="shared" ref="O69:O100" si="100">$N69*AC69</f>
        <v>20121.510000000002</v>
      </c>
      <c r="P69" s="5" t="s">
        <v>25</v>
      </c>
      <c r="Q69" s="276" t="s">
        <v>188</v>
      </c>
      <c r="R69" s="5" t="s">
        <v>221</v>
      </c>
      <c r="S69" t="s">
        <v>25</v>
      </c>
      <c r="T69" s="200">
        <f>0.2872/AC69</f>
        <v>6.6327944572748265E-2</v>
      </c>
      <c r="U69" s="12">
        <f>$N69*47%/(8760*37%*20)+$T69</f>
        <v>0.10002055841947169</v>
      </c>
      <c r="V69" s="162">
        <f>70</f>
        <v>70</v>
      </c>
      <c r="W69" s="163">
        <f t="shared" si="86"/>
        <v>0.50281333333333333</v>
      </c>
      <c r="X69" s="22">
        <f t="shared" ref="X69:X100" si="101">T69*AC69</f>
        <v>0.28720000000000001</v>
      </c>
      <c r="Y69" s="160">
        <f t="shared" ref="Y69:Y100" si="102">U69*AC69</f>
        <v>0.43308901795631244</v>
      </c>
      <c r="Z69">
        <f t="shared" ref="Z69:Z100" si="103">V69*AC69</f>
        <v>303.10000000000002</v>
      </c>
      <c r="AA69" s="6">
        <f t="shared" ref="AA69:AA100" si="104">W69*AC69</f>
        <v>2.1771817333333332</v>
      </c>
      <c r="AB69" s="5" t="s">
        <v>222</v>
      </c>
      <c r="AC69" s="11">
        <v>4.33</v>
      </c>
    </row>
    <row r="70" spans="2:30" ht="72" customHeight="1" x14ac:dyDescent="0.3">
      <c r="B70" s="107" t="s">
        <v>1206</v>
      </c>
      <c r="C70" s="3">
        <v>10</v>
      </c>
      <c r="D70" s="159">
        <f t="shared" si="83"/>
        <v>2.3094688221709005</v>
      </c>
      <c r="E70" s="5" t="s">
        <v>1082</v>
      </c>
      <c r="F70" s="5" t="s">
        <v>1083</v>
      </c>
      <c r="G70" s="21" t="s">
        <v>45</v>
      </c>
      <c r="H70">
        <v>10</v>
      </c>
      <c r="I70">
        <v>10</v>
      </c>
      <c r="J70" t="s">
        <v>1392</v>
      </c>
      <c r="K70" s="8" t="s">
        <v>186</v>
      </c>
      <c r="L70" s="8" t="s">
        <v>187</v>
      </c>
      <c r="M70" s="8" t="s">
        <v>1466</v>
      </c>
      <c r="N70" s="161">
        <v>3573</v>
      </c>
      <c r="O70" s="161">
        <f t="shared" si="100"/>
        <v>15471.09</v>
      </c>
      <c r="P70" s="5" t="s">
        <v>25</v>
      </c>
      <c r="Q70" s="277"/>
      <c r="R70" s="5" t="s">
        <v>221</v>
      </c>
      <c r="S70" t="s">
        <v>25</v>
      </c>
      <c r="T70" s="200">
        <f t="shared" ref="T70:T71" si="105">0.2872/AC70</f>
        <v>6.6327944572748265E-2</v>
      </c>
      <c r="U70" s="12">
        <f>$N70*47%/(8760*37%*20)+$T70</f>
        <v>9.2233627653088873E-2</v>
      </c>
      <c r="V70" s="162">
        <f t="shared" ref="V70:V80" si="106">1.5%*$N70</f>
        <v>53.594999999999999</v>
      </c>
      <c r="W70" s="163">
        <f t="shared" si="86"/>
        <v>0.38563476190476192</v>
      </c>
      <c r="X70" s="22">
        <f t="shared" si="101"/>
        <v>0.28720000000000001</v>
      </c>
      <c r="Y70" s="160">
        <f t="shared" si="102"/>
        <v>0.39937160773787483</v>
      </c>
      <c r="Z70">
        <f t="shared" si="103"/>
        <v>232.06635</v>
      </c>
      <c r="AA70" s="6">
        <f t="shared" si="104"/>
        <v>1.6697985190476192</v>
      </c>
      <c r="AB70" s="5" t="s">
        <v>222</v>
      </c>
      <c r="AC70" s="11">
        <v>4.33</v>
      </c>
    </row>
    <row r="71" spans="2:30" ht="72" customHeight="1" x14ac:dyDescent="0.3">
      <c r="B71" s="107" t="s">
        <v>1206</v>
      </c>
      <c r="C71" s="3">
        <v>20</v>
      </c>
      <c r="D71" s="159">
        <f t="shared" si="83"/>
        <v>4.6189376443418011</v>
      </c>
      <c r="E71" s="5" t="s">
        <v>1084</v>
      </c>
      <c r="F71" s="5" t="s">
        <v>1085</v>
      </c>
      <c r="G71" s="21" t="s">
        <v>45</v>
      </c>
      <c r="H71">
        <v>10</v>
      </c>
      <c r="I71">
        <v>10</v>
      </c>
      <c r="J71" t="s">
        <v>1392</v>
      </c>
      <c r="K71" s="8" t="s">
        <v>186</v>
      </c>
      <c r="L71" s="8" t="s">
        <v>187</v>
      </c>
      <c r="M71" s="8" t="s">
        <v>1466</v>
      </c>
      <c r="N71" s="161">
        <v>2906</v>
      </c>
      <c r="O71" s="161">
        <f t="shared" si="100"/>
        <v>12582.98</v>
      </c>
      <c r="P71" s="5" t="s">
        <v>25</v>
      </c>
      <c r="Q71" s="277"/>
      <c r="R71" s="5" t="s">
        <v>221</v>
      </c>
      <c r="S71" t="s">
        <v>25</v>
      </c>
      <c r="T71" s="200">
        <f t="shared" si="105"/>
        <v>6.6327944572748265E-2</v>
      </c>
      <c r="U71" s="12">
        <f>$N71*47%/(8760*37%*20)+$T71</f>
        <v>8.7397610128715192E-2</v>
      </c>
      <c r="V71" s="162">
        <f t="shared" si="106"/>
        <v>43.589999999999996</v>
      </c>
      <c r="W71" s="163">
        <f t="shared" si="86"/>
        <v>0.31417047619047617</v>
      </c>
      <c r="X71" s="22">
        <f t="shared" si="101"/>
        <v>0.28720000000000001</v>
      </c>
      <c r="Y71" s="160">
        <f t="shared" si="102"/>
        <v>0.37843165185733679</v>
      </c>
      <c r="Z71">
        <f t="shared" si="103"/>
        <v>188.74469999999999</v>
      </c>
      <c r="AA71" s="6">
        <f t="shared" si="104"/>
        <v>1.3603581619047618</v>
      </c>
      <c r="AB71" s="5" t="s">
        <v>222</v>
      </c>
      <c r="AC71" s="11">
        <v>4.33</v>
      </c>
    </row>
    <row r="72" spans="2:30" ht="72" customHeight="1" x14ac:dyDescent="0.3">
      <c r="B72" s="107" t="s">
        <v>1206</v>
      </c>
      <c r="C72" s="3">
        <v>30</v>
      </c>
      <c r="D72" s="159">
        <f t="shared" si="83"/>
        <v>6.9284064665127021</v>
      </c>
      <c r="E72" s="5" t="s">
        <v>1086</v>
      </c>
      <c r="F72" s="5" t="s">
        <v>1087</v>
      </c>
      <c r="G72" s="21" t="s">
        <v>45</v>
      </c>
      <c r="H72">
        <v>10</v>
      </c>
      <c r="I72">
        <v>10</v>
      </c>
      <c r="J72" t="s">
        <v>1392</v>
      </c>
      <c r="K72" s="8" t="s">
        <v>186</v>
      </c>
      <c r="L72" s="8" t="s">
        <v>187</v>
      </c>
      <c r="M72" s="8" t="s">
        <v>1466</v>
      </c>
      <c r="N72" s="161">
        <v>2635</v>
      </c>
      <c r="O72" s="161">
        <f t="shared" si="100"/>
        <v>11409.550000000001</v>
      </c>
      <c r="P72" s="5" t="s">
        <v>25</v>
      </c>
      <c r="Q72" s="277"/>
      <c r="R72" s="5" t="s">
        <v>221</v>
      </c>
      <c r="S72" t="s">
        <v>25</v>
      </c>
      <c r="T72" s="200">
        <f>0.1899/AC72</f>
        <v>4.3856812933025409E-2</v>
      </c>
      <c r="U72" s="12">
        <f t="shared" ref="U72:U80" si="107">$N72*47%/(8760*80%*20)+$T72</f>
        <v>5.2692786106541392E-2</v>
      </c>
      <c r="V72" s="162">
        <f t="shared" si="106"/>
        <v>39.524999999999999</v>
      </c>
      <c r="W72" s="163">
        <f t="shared" si="86"/>
        <v>0.28513476190476189</v>
      </c>
      <c r="X72" s="22">
        <f t="shared" si="101"/>
        <v>0.18990000000000001</v>
      </c>
      <c r="Y72" s="160">
        <f t="shared" si="102"/>
        <v>0.22815976384132422</v>
      </c>
      <c r="Z72">
        <f t="shared" si="103"/>
        <v>171.14324999999999</v>
      </c>
      <c r="AA72" s="6">
        <f t="shared" si="104"/>
        <v>1.234633519047619</v>
      </c>
      <c r="AB72" s="5" t="s">
        <v>222</v>
      </c>
      <c r="AC72" s="11">
        <v>4.33</v>
      </c>
    </row>
    <row r="73" spans="2:30" ht="72" customHeight="1" x14ac:dyDescent="0.3">
      <c r="B73" s="107" t="s">
        <v>1206</v>
      </c>
      <c r="C73" s="3">
        <v>40</v>
      </c>
      <c r="D73" s="159">
        <f t="shared" si="83"/>
        <v>9.2378752886836022</v>
      </c>
      <c r="E73" s="5" t="s">
        <v>1088</v>
      </c>
      <c r="F73" s="5" t="s">
        <v>1089</v>
      </c>
      <c r="G73" s="21" t="s">
        <v>45</v>
      </c>
      <c r="H73">
        <v>10</v>
      </c>
      <c r="I73">
        <v>10</v>
      </c>
      <c r="J73" t="s">
        <v>1392</v>
      </c>
      <c r="K73" s="8" t="s">
        <v>186</v>
      </c>
      <c r="L73" s="8" t="s">
        <v>187</v>
      </c>
      <c r="M73" s="8" t="s">
        <v>1466</v>
      </c>
      <c r="N73" s="161">
        <v>2481</v>
      </c>
      <c r="O73" s="161">
        <f t="shared" si="100"/>
        <v>10742.73</v>
      </c>
      <c r="P73" s="5" t="s">
        <v>25</v>
      </c>
      <c r="Q73" s="277"/>
      <c r="R73" s="5" t="s">
        <v>221</v>
      </c>
      <c r="S73" t="s">
        <v>25</v>
      </c>
      <c r="T73" s="200">
        <f t="shared" ref="T73:T80" si="108">0.1899/AC73</f>
        <v>4.3856812933025409E-2</v>
      </c>
      <c r="U73" s="12">
        <f t="shared" si="107"/>
        <v>5.2176376289189794E-2</v>
      </c>
      <c r="V73" s="162">
        <f t="shared" si="106"/>
        <v>37.214999999999996</v>
      </c>
      <c r="W73" s="163">
        <f t="shared" si="86"/>
        <v>0.26863476190476188</v>
      </c>
      <c r="X73" s="22">
        <f t="shared" si="101"/>
        <v>0.18990000000000001</v>
      </c>
      <c r="Y73" s="160">
        <f t="shared" si="102"/>
        <v>0.2259237093321918</v>
      </c>
      <c r="Z73">
        <f t="shared" si="103"/>
        <v>161.14094999999998</v>
      </c>
      <c r="AA73" s="6">
        <f t="shared" si="104"/>
        <v>1.163188519047619</v>
      </c>
      <c r="AB73" s="5" t="s">
        <v>222</v>
      </c>
      <c r="AC73" s="11">
        <v>4.33</v>
      </c>
    </row>
    <row r="74" spans="2:30" ht="72" customHeight="1" x14ac:dyDescent="0.3">
      <c r="B74" s="107" t="s">
        <v>1206</v>
      </c>
      <c r="C74" s="3">
        <v>50</v>
      </c>
      <c r="D74" s="159">
        <f t="shared" si="83"/>
        <v>11.547344110854503</v>
      </c>
      <c r="E74" s="5" t="s">
        <v>1090</v>
      </c>
      <c r="F74" s="5" t="s">
        <v>1091</v>
      </c>
      <c r="G74" s="21" t="s">
        <v>45</v>
      </c>
      <c r="H74">
        <v>10</v>
      </c>
      <c r="I74">
        <v>10</v>
      </c>
      <c r="J74" t="s">
        <v>1392</v>
      </c>
      <c r="K74" s="8" t="s">
        <v>186</v>
      </c>
      <c r="L74" s="8" t="s">
        <v>187</v>
      </c>
      <c r="M74" s="8" t="s">
        <v>1466</v>
      </c>
      <c r="N74" s="161">
        <v>2379</v>
      </c>
      <c r="O74" s="161">
        <f t="shared" si="100"/>
        <v>10301.07</v>
      </c>
      <c r="P74" s="5" t="s">
        <v>25</v>
      </c>
      <c r="Q74" s="277"/>
      <c r="R74" s="5" t="s">
        <v>221</v>
      </c>
      <c r="S74" t="s">
        <v>25</v>
      </c>
      <c r="T74" s="200">
        <f t="shared" si="108"/>
        <v>4.3856812933025409E-2</v>
      </c>
      <c r="U74" s="12">
        <f t="shared" si="107"/>
        <v>5.1834338617956915E-2</v>
      </c>
      <c r="V74" s="162">
        <f t="shared" si="106"/>
        <v>35.684999999999995</v>
      </c>
      <c r="W74" s="163">
        <f t="shared" si="86"/>
        <v>0.25770619047619042</v>
      </c>
      <c r="X74" s="22">
        <f t="shared" si="101"/>
        <v>0.18990000000000001</v>
      </c>
      <c r="Y74" s="160">
        <f t="shared" si="102"/>
        <v>0.22444268621575345</v>
      </c>
      <c r="Z74">
        <f t="shared" si="103"/>
        <v>154.51604999999998</v>
      </c>
      <c r="AA74" s="6">
        <f t="shared" si="104"/>
        <v>1.1158678047619046</v>
      </c>
      <c r="AB74" s="5" t="s">
        <v>222</v>
      </c>
      <c r="AC74" s="11">
        <v>4.33</v>
      </c>
    </row>
    <row r="75" spans="2:30" ht="72" customHeight="1" x14ac:dyDescent="0.3">
      <c r="B75" s="107" t="s">
        <v>1206</v>
      </c>
      <c r="C75" s="3">
        <v>60</v>
      </c>
      <c r="D75" s="159">
        <f t="shared" si="83"/>
        <v>13.856812933025404</v>
      </c>
      <c r="E75" s="5" t="s">
        <v>1092</v>
      </c>
      <c r="F75" s="5" t="s">
        <v>1093</v>
      </c>
      <c r="G75" s="21" t="s">
        <v>45</v>
      </c>
      <c r="H75">
        <v>10</v>
      </c>
      <c r="I75">
        <v>10</v>
      </c>
      <c r="J75" t="s">
        <v>1392</v>
      </c>
      <c r="K75" s="8" t="s">
        <v>186</v>
      </c>
      <c r="L75" s="8" t="s">
        <v>187</v>
      </c>
      <c r="M75" s="8" t="s">
        <v>1466</v>
      </c>
      <c r="N75" s="161">
        <v>2306</v>
      </c>
      <c r="O75" s="161">
        <f t="shared" si="100"/>
        <v>9984.98</v>
      </c>
      <c r="P75" s="5" t="s">
        <v>25</v>
      </c>
      <c r="Q75" s="277"/>
      <c r="R75" s="5" t="s">
        <v>221</v>
      </c>
      <c r="S75" t="s">
        <v>25</v>
      </c>
      <c r="T75" s="200">
        <f t="shared" si="108"/>
        <v>4.3856812933025409E-2</v>
      </c>
      <c r="U75" s="12">
        <f t="shared" si="107"/>
        <v>5.1589546951290248E-2</v>
      </c>
      <c r="V75" s="162">
        <f t="shared" si="106"/>
        <v>34.589999999999996</v>
      </c>
      <c r="W75" s="163">
        <f t="shared" si="86"/>
        <v>0.24988476190476189</v>
      </c>
      <c r="X75" s="22">
        <f t="shared" si="101"/>
        <v>0.18990000000000001</v>
      </c>
      <c r="Y75" s="160">
        <f t="shared" si="102"/>
        <v>0.22338273829908678</v>
      </c>
      <c r="Z75">
        <f t="shared" si="103"/>
        <v>149.7747</v>
      </c>
      <c r="AA75" s="6">
        <f t="shared" si="104"/>
        <v>1.082001019047619</v>
      </c>
      <c r="AB75" s="5" t="s">
        <v>222</v>
      </c>
      <c r="AC75" s="11">
        <v>4.33</v>
      </c>
    </row>
    <row r="76" spans="2:30" ht="72" customHeight="1" x14ac:dyDescent="0.3">
      <c r="B76" s="107" t="s">
        <v>1206</v>
      </c>
      <c r="C76" s="3">
        <v>80</v>
      </c>
      <c r="D76" s="159">
        <f t="shared" si="83"/>
        <v>18.691588785046729</v>
      </c>
      <c r="E76" s="5" t="s">
        <v>1094</v>
      </c>
      <c r="F76" s="5" t="s">
        <v>1095</v>
      </c>
      <c r="G76" s="21" t="s">
        <v>45</v>
      </c>
      <c r="H76">
        <v>10</v>
      </c>
      <c r="I76">
        <v>10</v>
      </c>
      <c r="J76" t="s">
        <v>1392</v>
      </c>
      <c r="K76" s="8" t="s">
        <v>186</v>
      </c>
      <c r="L76" s="8" t="s">
        <v>187</v>
      </c>
      <c r="M76" s="8" t="s">
        <v>1466</v>
      </c>
      <c r="N76" s="161">
        <v>2205</v>
      </c>
      <c r="O76" s="161">
        <f t="shared" si="100"/>
        <v>9437.4000000000015</v>
      </c>
      <c r="P76" s="5" t="s">
        <v>25</v>
      </c>
      <c r="Q76" s="277"/>
      <c r="R76" s="5" t="s">
        <v>221</v>
      </c>
      <c r="S76" t="s">
        <v>25</v>
      </c>
      <c r="T76" s="200">
        <f t="shared" si="108"/>
        <v>4.4369158878504671E-2</v>
      </c>
      <c r="U76" s="12">
        <f t="shared" si="107"/>
        <v>5.1763208536038913E-2</v>
      </c>
      <c r="V76" s="162">
        <f t="shared" si="106"/>
        <v>33.074999999999996</v>
      </c>
      <c r="W76" s="163">
        <f t="shared" si="86"/>
        <v>0.23906333333333329</v>
      </c>
      <c r="X76" s="22">
        <f t="shared" si="101"/>
        <v>0.18990000000000001</v>
      </c>
      <c r="Y76" s="160">
        <f t="shared" si="102"/>
        <v>0.22154653253424655</v>
      </c>
      <c r="Z76">
        <f t="shared" si="103"/>
        <v>141.56099999999998</v>
      </c>
      <c r="AA76" s="6">
        <f t="shared" si="104"/>
        <v>1.0231910666666666</v>
      </c>
      <c r="AB76" s="5" t="s">
        <v>222</v>
      </c>
      <c r="AC76" s="11">
        <v>4.28</v>
      </c>
    </row>
    <row r="77" spans="2:30" ht="72" customHeight="1" x14ac:dyDescent="0.3">
      <c r="B77" s="107" t="s">
        <v>1206</v>
      </c>
      <c r="C77" s="3">
        <v>100</v>
      </c>
      <c r="D77" s="159">
        <f t="shared" si="83"/>
        <v>22.624434389140273</v>
      </c>
      <c r="E77" s="5" t="s">
        <v>1096</v>
      </c>
      <c r="F77" s="5" t="s">
        <v>1097</v>
      </c>
      <c r="G77" s="21" t="s">
        <v>45</v>
      </c>
      <c r="H77">
        <v>10</v>
      </c>
      <c r="I77">
        <v>10</v>
      </c>
      <c r="J77" t="s">
        <v>1392</v>
      </c>
      <c r="K77" s="8" t="s">
        <v>186</v>
      </c>
      <c r="L77" s="8" t="s">
        <v>187</v>
      </c>
      <c r="M77" s="8" t="s">
        <v>1466</v>
      </c>
      <c r="N77" s="161">
        <v>2112</v>
      </c>
      <c r="O77" s="161">
        <f t="shared" si="100"/>
        <v>9335.0399999999991</v>
      </c>
      <c r="P77" s="5" t="s">
        <v>25</v>
      </c>
      <c r="Q77" s="277"/>
      <c r="R77" s="5" t="s">
        <v>221</v>
      </c>
      <c r="S77" t="s">
        <v>25</v>
      </c>
      <c r="T77" s="200">
        <f t="shared" si="108"/>
        <v>4.2963800904977381E-2</v>
      </c>
      <c r="U77" s="12">
        <f t="shared" si="107"/>
        <v>5.0045992685799297E-2</v>
      </c>
      <c r="V77" s="162">
        <f t="shared" si="106"/>
        <v>31.68</v>
      </c>
      <c r="W77" s="163">
        <f t="shared" si="86"/>
        <v>0.22909904761904762</v>
      </c>
      <c r="X77" s="22">
        <f t="shared" si="101"/>
        <v>0.18990000000000001</v>
      </c>
      <c r="Y77" s="160">
        <f t="shared" si="102"/>
        <v>0.2212032876712329</v>
      </c>
      <c r="Z77">
        <f t="shared" si="103"/>
        <v>140.0256</v>
      </c>
      <c r="AA77" s="6">
        <f t="shared" si="104"/>
        <v>1.0126177904761904</v>
      </c>
      <c r="AB77" s="5" t="s">
        <v>222</v>
      </c>
      <c r="AC77" s="11">
        <v>4.42</v>
      </c>
    </row>
    <row r="78" spans="2:30" ht="57.6" x14ac:dyDescent="0.3">
      <c r="B78" s="107" t="s">
        <v>1206</v>
      </c>
      <c r="C78" s="3">
        <v>300</v>
      </c>
      <c r="D78" s="159">
        <f t="shared" si="83"/>
        <v>67.720090293453723</v>
      </c>
      <c r="E78" s="5" t="s">
        <v>1098</v>
      </c>
      <c r="F78" s="5" t="s">
        <v>1099</v>
      </c>
      <c r="G78" s="21" t="s">
        <v>45</v>
      </c>
      <c r="H78">
        <v>10</v>
      </c>
      <c r="I78">
        <v>10</v>
      </c>
      <c r="J78" t="s">
        <v>1392</v>
      </c>
      <c r="K78" s="8" t="s">
        <v>186</v>
      </c>
      <c r="L78" s="8" t="s">
        <v>187</v>
      </c>
      <c r="M78" s="8" t="s">
        <v>1466</v>
      </c>
      <c r="N78" s="161">
        <v>1520</v>
      </c>
      <c r="O78" s="161">
        <f t="shared" si="100"/>
        <v>6733.5999999999995</v>
      </c>
      <c r="P78" s="5" t="s">
        <v>453</v>
      </c>
      <c r="Q78" s="277"/>
      <c r="R78" s="5" t="s">
        <v>221</v>
      </c>
      <c r="S78" t="s">
        <v>25</v>
      </c>
      <c r="T78" s="200">
        <f t="shared" si="108"/>
        <v>4.2866817155756215E-2</v>
      </c>
      <c r="U78" s="12">
        <f t="shared" si="107"/>
        <v>4.7963849119226534E-2</v>
      </c>
      <c r="V78" s="162">
        <f t="shared" si="106"/>
        <v>22.8</v>
      </c>
      <c r="W78" s="163">
        <f t="shared" si="86"/>
        <v>0.1656704761904762</v>
      </c>
      <c r="X78" s="22">
        <f t="shared" si="101"/>
        <v>0.18990000000000001</v>
      </c>
      <c r="Y78" s="160">
        <f t="shared" si="102"/>
        <v>0.21247985159817354</v>
      </c>
      <c r="Z78">
        <f t="shared" si="103"/>
        <v>101.00399999999999</v>
      </c>
      <c r="AA78" s="6">
        <f t="shared" si="104"/>
        <v>0.73392020952380954</v>
      </c>
      <c r="AB78" s="5" t="s">
        <v>222</v>
      </c>
      <c r="AC78" s="11">
        <v>4.43</v>
      </c>
    </row>
    <row r="79" spans="2:30" ht="57.6" x14ac:dyDescent="0.3">
      <c r="B79" s="107" t="s">
        <v>1206</v>
      </c>
      <c r="C79" s="3">
        <v>500</v>
      </c>
      <c r="D79" s="159">
        <f t="shared" si="83"/>
        <v>111.35857461024499</v>
      </c>
      <c r="E79" s="5" t="s">
        <v>1100</v>
      </c>
      <c r="F79" s="5" t="s">
        <v>1101</v>
      </c>
      <c r="G79" s="21" t="s">
        <v>45</v>
      </c>
      <c r="H79">
        <v>10</v>
      </c>
      <c r="I79">
        <v>10</v>
      </c>
      <c r="J79" t="s">
        <v>1392</v>
      </c>
      <c r="K79" s="8" t="s">
        <v>186</v>
      </c>
      <c r="L79" s="8" t="s">
        <v>187</v>
      </c>
      <c r="M79" s="8" t="s">
        <v>1466</v>
      </c>
      <c r="N79" s="161">
        <v>1333</v>
      </c>
      <c r="O79" s="161">
        <f t="shared" si="100"/>
        <v>5985.17</v>
      </c>
      <c r="P79" s="5" t="s">
        <v>453</v>
      </c>
      <c r="Q79" s="277"/>
      <c r="R79" s="5" t="s">
        <v>221</v>
      </c>
      <c r="S79" t="s">
        <v>25</v>
      </c>
      <c r="T79" s="200">
        <f t="shared" si="108"/>
        <v>4.2293986636971051E-2</v>
      </c>
      <c r="U79" s="12">
        <f t="shared" si="107"/>
        <v>4.6763949536514429E-2</v>
      </c>
      <c r="V79" s="162">
        <f t="shared" si="106"/>
        <v>19.995000000000001</v>
      </c>
      <c r="W79" s="163">
        <f t="shared" si="86"/>
        <v>0.14563476190476191</v>
      </c>
      <c r="X79" s="22">
        <f t="shared" si="101"/>
        <v>0.18990000000000004</v>
      </c>
      <c r="Y79" s="160">
        <f t="shared" si="102"/>
        <v>0.20997013341894979</v>
      </c>
      <c r="Z79">
        <f t="shared" si="103"/>
        <v>89.777550000000005</v>
      </c>
      <c r="AA79" s="6">
        <f t="shared" si="104"/>
        <v>0.65390008095238095</v>
      </c>
      <c r="AB79" s="5" t="s">
        <v>222</v>
      </c>
      <c r="AC79" s="11">
        <v>4.49</v>
      </c>
    </row>
    <row r="80" spans="2:30" ht="57.6" x14ac:dyDescent="0.3">
      <c r="B80" s="108" t="s">
        <v>1206</v>
      </c>
      <c r="C80" s="30">
        <v>1000</v>
      </c>
      <c r="D80" s="176">
        <f t="shared" si="83"/>
        <v>217.39130434782609</v>
      </c>
      <c r="E80" s="32" t="s">
        <v>1102</v>
      </c>
      <c r="F80" s="32" t="s">
        <v>1103</v>
      </c>
      <c r="G80" s="43" t="s">
        <v>45</v>
      </c>
      <c r="H80" s="35">
        <v>10</v>
      </c>
      <c r="I80" s="35">
        <v>10</v>
      </c>
      <c r="J80" s="35" t="s">
        <v>1392</v>
      </c>
      <c r="K80" s="76" t="s">
        <v>186</v>
      </c>
      <c r="L80" s="76" t="s">
        <v>187</v>
      </c>
      <c r="M80" s="76" t="s">
        <v>1466</v>
      </c>
      <c r="N80" s="201">
        <v>1116</v>
      </c>
      <c r="O80" s="201">
        <f t="shared" si="100"/>
        <v>5133.5999999999995</v>
      </c>
      <c r="P80" s="32" t="s">
        <v>453</v>
      </c>
      <c r="Q80" s="278"/>
      <c r="R80" s="32" t="s">
        <v>221</v>
      </c>
      <c r="S80" s="35" t="s">
        <v>25</v>
      </c>
      <c r="T80" s="217">
        <f t="shared" si="108"/>
        <v>4.128260869565218E-2</v>
      </c>
      <c r="U80" s="164">
        <f t="shared" si="107"/>
        <v>4.5024903216200125E-2</v>
      </c>
      <c r="V80" s="202">
        <f t="shared" si="106"/>
        <v>16.739999999999998</v>
      </c>
      <c r="W80" s="203">
        <f t="shared" si="86"/>
        <v>0.1223847619047619</v>
      </c>
      <c r="X80" s="44">
        <f t="shared" si="101"/>
        <v>0.18990000000000001</v>
      </c>
      <c r="Y80" s="177">
        <f t="shared" si="102"/>
        <v>0.20711455479452057</v>
      </c>
      <c r="Z80" s="35">
        <f t="shared" si="103"/>
        <v>77.003999999999991</v>
      </c>
      <c r="AA80" s="41">
        <f t="shared" si="104"/>
        <v>0.56296990476190467</v>
      </c>
      <c r="AB80" s="32" t="s">
        <v>222</v>
      </c>
      <c r="AC80" s="60">
        <v>4.5999999999999996</v>
      </c>
      <c r="AD80" s="35"/>
    </row>
    <row r="81" spans="2:30" ht="72" customHeight="1" x14ac:dyDescent="0.3">
      <c r="B81" s="247" t="s">
        <v>1207</v>
      </c>
      <c r="C81" s="159">
        <f t="shared" ref="C81:C92" si="109">C69/AD81</f>
        <v>5.8198614318706694</v>
      </c>
      <c r="D81" s="159">
        <f t="shared" si="83"/>
        <v>1.1547344110854503</v>
      </c>
      <c r="E81" s="5" t="s">
        <v>1212</v>
      </c>
      <c r="F81" s="5" t="s">
        <v>1213</v>
      </c>
      <c r="G81" s="21" t="s">
        <v>45</v>
      </c>
      <c r="H81">
        <v>10</v>
      </c>
      <c r="I81">
        <v>10</v>
      </c>
      <c r="J81" t="s">
        <v>1392</v>
      </c>
      <c r="K81" s="8" t="s">
        <v>186</v>
      </c>
      <c r="L81" s="8" t="s">
        <v>187</v>
      </c>
      <c r="M81" s="8" t="s">
        <v>1466</v>
      </c>
      <c r="N81" s="11">
        <f>N69*AD81</f>
        <v>3992.3630952380954</v>
      </c>
      <c r="O81" s="161">
        <f t="shared" si="100"/>
        <v>20121.510000000002</v>
      </c>
      <c r="P81" s="5" t="s">
        <v>25</v>
      </c>
      <c r="Q81" s="276" t="s">
        <v>188</v>
      </c>
      <c r="R81" s="5" t="s">
        <v>221</v>
      </c>
      <c r="S81" t="s">
        <v>25</v>
      </c>
      <c r="T81" s="200">
        <f>T69*AD81</f>
        <v>5.6984126984126984E-2</v>
      </c>
      <c r="U81" s="12">
        <f>U69*AD81</f>
        <v>8.5930360705617548E-2</v>
      </c>
      <c r="V81" s="162">
        <f>V69*AD81</f>
        <v>60.138888888888893</v>
      </c>
      <c r="W81" s="163">
        <f>W69*AD81</f>
        <v>0.4319805026455027</v>
      </c>
      <c r="X81" s="22">
        <f t="shared" si="101"/>
        <v>0.28720000000000001</v>
      </c>
      <c r="Y81" s="160">
        <f t="shared" si="102"/>
        <v>0.43308901795631244</v>
      </c>
      <c r="Z81">
        <f t="shared" si="103"/>
        <v>303.10000000000002</v>
      </c>
      <c r="AA81" s="6">
        <f t="shared" si="104"/>
        <v>2.1771817333333336</v>
      </c>
      <c r="AB81" s="5" t="s">
        <v>222</v>
      </c>
      <c r="AC81" s="11">
        <v>5.04</v>
      </c>
      <c r="AD81" s="13">
        <f>AC69/AC81</f>
        <v>0.85912698412698418</v>
      </c>
    </row>
    <row r="82" spans="2:30" ht="72" customHeight="1" x14ac:dyDescent="0.3">
      <c r="B82" s="247" t="s">
        <v>1207</v>
      </c>
      <c r="C82" s="159">
        <f t="shared" si="109"/>
        <v>11.639722863741339</v>
      </c>
      <c r="D82" s="159">
        <f t="shared" si="83"/>
        <v>2.3094688221709005</v>
      </c>
      <c r="E82" s="5" t="s">
        <v>1214</v>
      </c>
      <c r="F82" s="5" t="s">
        <v>1215</v>
      </c>
      <c r="G82" s="21" t="s">
        <v>45</v>
      </c>
      <c r="H82">
        <v>10</v>
      </c>
      <c r="I82">
        <v>10</v>
      </c>
      <c r="J82" t="s">
        <v>1392</v>
      </c>
      <c r="K82" s="8" t="s">
        <v>186</v>
      </c>
      <c r="L82" s="8" t="s">
        <v>187</v>
      </c>
      <c r="M82" s="8" t="s">
        <v>1466</v>
      </c>
      <c r="N82" s="11">
        <f t="shared" ref="N82:N92" si="110">N70*AD82</f>
        <v>3069.6607142857147</v>
      </c>
      <c r="O82" s="161">
        <f t="shared" si="100"/>
        <v>15471.090000000002</v>
      </c>
      <c r="P82" s="5" t="s">
        <v>25</v>
      </c>
      <c r="Q82" s="277"/>
      <c r="R82" s="5" t="s">
        <v>221</v>
      </c>
      <c r="S82" t="s">
        <v>25</v>
      </c>
      <c r="T82" s="200">
        <f t="shared" ref="T82:T92" si="111">T70*AD82</f>
        <v>5.6984126984126984E-2</v>
      </c>
      <c r="U82" s="12">
        <f t="shared" ref="U82:U92" si="112">U70*AD82</f>
        <v>7.9240398360689454E-2</v>
      </c>
      <c r="V82" s="162">
        <f t="shared" ref="V82:V92" si="113">V70*AD82</f>
        <v>46.044910714285713</v>
      </c>
      <c r="W82" s="163">
        <f t="shared" ref="W82:W92" si="114">W70*AD82</f>
        <v>0.33130922996976575</v>
      </c>
      <c r="X82" s="22">
        <f t="shared" si="101"/>
        <v>0.28720000000000001</v>
      </c>
      <c r="Y82" s="160">
        <f t="shared" si="102"/>
        <v>0.39937160773787483</v>
      </c>
      <c r="Z82">
        <f t="shared" si="103"/>
        <v>232.06635</v>
      </c>
      <c r="AA82" s="6">
        <f t="shared" si="104"/>
        <v>1.6697985190476194</v>
      </c>
      <c r="AB82" s="5" t="s">
        <v>222</v>
      </c>
      <c r="AC82" s="11">
        <v>5.04</v>
      </c>
      <c r="AD82" s="13">
        <f t="shared" ref="AD82:AD92" si="115">AC70/AC82</f>
        <v>0.85912698412698418</v>
      </c>
    </row>
    <row r="83" spans="2:30" ht="72" customHeight="1" x14ac:dyDescent="0.3">
      <c r="B83" s="247" t="s">
        <v>1207</v>
      </c>
      <c r="C83" s="159">
        <f t="shared" si="109"/>
        <v>23.279445727482678</v>
      </c>
      <c r="D83" s="159">
        <f t="shared" si="83"/>
        <v>4.6189376443418011</v>
      </c>
      <c r="E83" s="5" t="s">
        <v>1216</v>
      </c>
      <c r="F83" s="5" t="s">
        <v>1217</v>
      </c>
      <c r="G83" s="21" t="s">
        <v>45</v>
      </c>
      <c r="H83">
        <v>10</v>
      </c>
      <c r="I83">
        <v>10</v>
      </c>
      <c r="J83" t="s">
        <v>1392</v>
      </c>
      <c r="K83" s="8" t="s">
        <v>186</v>
      </c>
      <c r="L83" s="8" t="s">
        <v>187</v>
      </c>
      <c r="M83" s="8" t="s">
        <v>1466</v>
      </c>
      <c r="N83" s="11">
        <f t="shared" si="110"/>
        <v>2496.6230158730159</v>
      </c>
      <c r="O83" s="161">
        <f t="shared" si="100"/>
        <v>12582.98</v>
      </c>
      <c r="P83" s="5" t="s">
        <v>25</v>
      </c>
      <c r="Q83" s="277"/>
      <c r="R83" s="5" t="s">
        <v>221</v>
      </c>
      <c r="S83" t="s">
        <v>25</v>
      </c>
      <c r="T83" s="200">
        <f t="shared" si="111"/>
        <v>5.6984126984126984E-2</v>
      </c>
      <c r="U83" s="12">
        <f t="shared" si="112"/>
        <v>7.5085645209789054E-2</v>
      </c>
      <c r="V83" s="162">
        <f t="shared" si="113"/>
        <v>37.449345238095241</v>
      </c>
      <c r="W83" s="163">
        <f t="shared" si="114"/>
        <v>0.26991233371126228</v>
      </c>
      <c r="X83" s="22">
        <f t="shared" si="101"/>
        <v>0.28720000000000001</v>
      </c>
      <c r="Y83" s="160">
        <f t="shared" si="102"/>
        <v>0.37843165185733685</v>
      </c>
      <c r="Z83">
        <f t="shared" si="103"/>
        <v>188.74470000000002</v>
      </c>
      <c r="AA83" s="6">
        <f t="shared" si="104"/>
        <v>1.3603581619047618</v>
      </c>
      <c r="AB83" s="5" t="s">
        <v>222</v>
      </c>
      <c r="AC83" s="11">
        <v>5.04</v>
      </c>
      <c r="AD83" s="13">
        <f t="shared" si="115"/>
        <v>0.85912698412698418</v>
      </c>
    </row>
    <row r="84" spans="2:30" ht="72" customHeight="1" x14ac:dyDescent="0.3">
      <c r="B84" s="247" t="s">
        <v>1207</v>
      </c>
      <c r="C84" s="159">
        <f t="shared" si="109"/>
        <v>34.919168591224015</v>
      </c>
      <c r="D84" s="159">
        <f t="shared" si="83"/>
        <v>6.9284064665127012</v>
      </c>
      <c r="E84" s="5" t="s">
        <v>1218</v>
      </c>
      <c r="F84" s="5" t="s">
        <v>1219</v>
      </c>
      <c r="G84" s="21" t="s">
        <v>45</v>
      </c>
      <c r="H84">
        <v>10</v>
      </c>
      <c r="I84">
        <v>10</v>
      </c>
      <c r="J84" t="s">
        <v>1392</v>
      </c>
      <c r="K84" s="8" t="s">
        <v>186</v>
      </c>
      <c r="L84" s="8" t="s">
        <v>187</v>
      </c>
      <c r="M84" s="8" t="s">
        <v>1466</v>
      </c>
      <c r="N84" s="11">
        <f t="shared" si="110"/>
        <v>2263.7996031746034</v>
      </c>
      <c r="O84" s="161">
        <f t="shared" si="100"/>
        <v>11409.550000000001</v>
      </c>
      <c r="P84" s="5" t="s">
        <v>25</v>
      </c>
      <c r="Q84" s="277"/>
      <c r="R84" s="5" t="s">
        <v>221</v>
      </c>
      <c r="S84" t="s">
        <v>25</v>
      </c>
      <c r="T84" s="200">
        <f t="shared" si="111"/>
        <v>3.7678571428571436E-2</v>
      </c>
      <c r="U84" s="12">
        <f t="shared" si="112"/>
        <v>4.526979441296116E-2</v>
      </c>
      <c r="V84" s="162">
        <f t="shared" si="113"/>
        <v>33.956994047619048</v>
      </c>
      <c r="W84" s="163">
        <f t="shared" si="114"/>
        <v>0.24496696806500379</v>
      </c>
      <c r="X84" s="22">
        <f t="shared" si="101"/>
        <v>0.18990000000000004</v>
      </c>
      <c r="Y84" s="160">
        <f t="shared" si="102"/>
        <v>0.22815976384132425</v>
      </c>
      <c r="Z84">
        <f t="shared" si="103"/>
        <v>171.14324999999999</v>
      </c>
      <c r="AA84" s="6">
        <f t="shared" si="104"/>
        <v>1.2346335190476192</v>
      </c>
      <c r="AB84" s="5" t="s">
        <v>222</v>
      </c>
      <c r="AC84" s="11">
        <v>5.04</v>
      </c>
      <c r="AD84" s="13">
        <f t="shared" si="115"/>
        <v>0.85912698412698418</v>
      </c>
    </row>
    <row r="85" spans="2:30" ht="72" customHeight="1" x14ac:dyDescent="0.3">
      <c r="B85" s="247" t="s">
        <v>1207</v>
      </c>
      <c r="C85" s="159">
        <f t="shared" si="109"/>
        <v>46.558891454965355</v>
      </c>
      <c r="D85" s="159">
        <f t="shared" si="83"/>
        <v>9.2378752886836022</v>
      </c>
      <c r="E85" s="5" t="s">
        <v>1220</v>
      </c>
      <c r="F85" s="5" t="s">
        <v>1221</v>
      </c>
      <c r="G85" s="21" t="s">
        <v>45</v>
      </c>
      <c r="H85">
        <v>10</v>
      </c>
      <c r="I85">
        <v>10</v>
      </c>
      <c r="J85" t="s">
        <v>1392</v>
      </c>
      <c r="K85" s="8" t="s">
        <v>186</v>
      </c>
      <c r="L85" s="8" t="s">
        <v>187</v>
      </c>
      <c r="M85" s="8" t="s">
        <v>1466</v>
      </c>
      <c r="N85" s="11">
        <f t="shared" si="110"/>
        <v>2131.4940476190477</v>
      </c>
      <c r="O85" s="161">
        <f t="shared" si="100"/>
        <v>10742.730000000001</v>
      </c>
      <c r="P85" s="5" t="s">
        <v>25</v>
      </c>
      <c r="Q85" s="277"/>
      <c r="R85" s="5" t="s">
        <v>221</v>
      </c>
      <c r="S85" t="s">
        <v>25</v>
      </c>
      <c r="T85" s="200">
        <f t="shared" si="111"/>
        <v>3.7678571428571436E-2</v>
      </c>
      <c r="U85" s="12">
        <f t="shared" si="112"/>
        <v>4.4826132804006311E-2</v>
      </c>
      <c r="V85" s="162">
        <f t="shared" si="113"/>
        <v>31.972410714285711</v>
      </c>
      <c r="W85" s="163">
        <f t="shared" si="114"/>
        <v>0.23079137282690854</v>
      </c>
      <c r="X85" s="22">
        <f t="shared" si="101"/>
        <v>0.18990000000000004</v>
      </c>
      <c r="Y85" s="160">
        <f t="shared" si="102"/>
        <v>0.2259237093321918</v>
      </c>
      <c r="Z85">
        <f t="shared" si="103"/>
        <v>161.14094999999998</v>
      </c>
      <c r="AA85" s="6">
        <f t="shared" si="104"/>
        <v>1.163188519047619</v>
      </c>
      <c r="AB85" s="5" t="s">
        <v>222</v>
      </c>
      <c r="AC85" s="11">
        <v>5.04</v>
      </c>
      <c r="AD85" s="13">
        <f t="shared" si="115"/>
        <v>0.85912698412698418</v>
      </c>
    </row>
    <row r="86" spans="2:30" ht="72" customHeight="1" x14ac:dyDescent="0.3">
      <c r="B86" s="247" t="s">
        <v>1207</v>
      </c>
      <c r="C86" s="159">
        <f t="shared" si="109"/>
        <v>58.198614318706696</v>
      </c>
      <c r="D86" s="159">
        <f t="shared" si="83"/>
        <v>11.547344110854503</v>
      </c>
      <c r="E86" s="5" t="s">
        <v>1222</v>
      </c>
      <c r="F86" s="5" t="s">
        <v>1223</v>
      </c>
      <c r="G86" s="21" t="s">
        <v>45</v>
      </c>
      <c r="H86">
        <v>10</v>
      </c>
      <c r="I86">
        <v>10</v>
      </c>
      <c r="J86" t="s">
        <v>1392</v>
      </c>
      <c r="K86" s="8" t="s">
        <v>186</v>
      </c>
      <c r="L86" s="8" t="s">
        <v>187</v>
      </c>
      <c r="M86" s="8" t="s">
        <v>1466</v>
      </c>
      <c r="N86" s="11">
        <f t="shared" si="110"/>
        <v>2043.8630952380954</v>
      </c>
      <c r="O86" s="161">
        <f t="shared" si="100"/>
        <v>10301.070000000002</v>
      </c>
      <c r="P86" s="5" t="s">
        <v>25</v>
      </c>
      <c r="Q86" s="277"/>
      <c r="R86" s="5" t="s">
        <v>221</v>
      </c>
      <c r="S86" t="s">
        <v>25</v>
      </c>
      <c r="T86" s="200">
        <f t="shared" si="111"/>
        <v>3.7678571428571436E-2</v>
      </c>
      <c r="U86" s="12">
        <f t="shared" si="112"/>
        <v>4.4532279011062194E-2</v>
      </c>
      <c r="V86" s="162">
        <f t="shared" si="113"/>
        <v>30.657946428571428</v>
      </c>
      <c r="W86" s="163">
        <f t="shared" si="114"/>
        <v>0.22140234221466362</v>
      </c>
      <c r="X86" s="22">
        <f t="shared" si="101"/>
        <v>0.18990000000000004</v>
      </c>
      <c r="Y86" s="160">
        <f t="shared" si="102"/>
        <v>0.22444268621575345</v>
      </c>
      <c r="Z86">
        <f t="shared" si="103"/>
        <v>154.51605000000001</v>
      </c>
      <c r="AA86" s="6">
        <f t="shared" si="104"/>
        <v>1.1158678047619046</v>
      </c>
      <c r="AB86" s="5" t="s">
        <v>222</v>
      </c>
      <c r="AC86" s="11">
        <v>5.04</v>
      </c>
      <c r="AD86" s="13">
        <f t="shared" si="115"/>
        <v>0.85912698412698418</v>
      </c>
    </row>
    <row r="87" spans="2:30" ht="72" customHeight="1" x14ac:dyDescent="0.3">
      <c r="B87" s="247" t="s">
        <v>1207</v>
      </c>
      <c r="C87" s="159">
        <f t="shared" si="109"/>
        <v>68.175519630484985</v>
      </c>
      <c r="D87" s="159">
        <f t="shared" si="83"/>
        <v>13.856812933025404</v>
      </c>
      <c r="E87" s="5" t="s">
        <v>1224</v>
      </c>
      <c r="F87" s="5" t="s">
        <v>1225</v>
      </c>
      <c r="G87" s="21" t="s">
        <v>45</v>
      </c>
      <c r="H87">
        <v>10</v>
      </c>
      <c r="I87">
        <v>10</v>
      </c>
      <c r="J87" t="s">
        <v>1392</v>
      </c>
      <c r="K87" s="8" t="s">
        <v>186</v>
      </c>
      <c r="L87" s="8" t="s">
        <v>187</v>
      </c>
      <c r="M87" s="8" t="s">
        <v>1466</v>
      </c>
      <c r="N87" s="11">
        <f t="shared" si="110"/>
        <v>2029.4674796747968</v>
      </c>
      <c r="O87" s="161">
        <f t="shared" si="100"/>
        <v>9984.98</v>
      </c>
      <c r="P87" s="5" t="s">
        <v>25</v>
      </c>
      <c r="Q87" s="277"/>
      <c r="R87" s="5" t="s">
        <v>221</v>
      </c>
      <c r="S87" t="s">
        <v>25</v>
      </c>
      <c r="T87" s="200">
        <f t="shared" si="111"/>
        <v>3.8597560975609763E-2</v>
      </c>
      <c r="U87" s="12">
        <f t="shared" si="112"/>
        <v>4.5402995589245279E-2</v>
      </c>
      <c r="V87" s="162">
        <f t="shared" si="113"/>
        <v>30.442012195121951</v>
      </c>
      <c r="W87" s="163">
        <f t="shared" si="114"/>
        <v>0.21991890631049166</v>
      </c>
      <c r="X87" s="22">
        <f t="shared" si="101"/>
        <v>0.18990000000000004</v>
      </c>
      <c r="Y87" s="160">
        <f t="shared" si="102"/>
        <v>0.22338273829908678</v>
      </c>
      <c r="Z87">
        <f t="shared" si="103"/>
        <v>149.7747</v>
      </c>
      <c r="AA87" s="6">
        <f t="shared" si="104"/>
        <v>1.082001019047619</v>
      </c>
      <c r="AB87" s="5" t="s">
        <v>222</v>
      </c>
      <c r="AC87" s="11">
        <v>4.92</v>
      </c>
      <c r="AD87" s="13">
        <f t="shared" si="115"/>
        <v>0.88008130081300817</v>
      </c>
    </row>
    <row r="88" spans="2:30" ht="72" customHeight="1" x14ac:dyDescent="0.3">
      <c r="B88" s="247" t="s">
        <v>1207</v>
      </c>
      <c r="C88" s="159">
        <f t="shared" si="109"/>
        <v>94.018691588785046</v>
      </c>
      <c r="D88" s="159">
        <f t="shared" si="83"/>
        <v>18.691588785046729</v>
      </c>
      <c r="E88" s="5" t="s">
        <v>1226</v>
      </c>
      <c r="F88" s="5" t="s">
        <v>1227</v>
      </c>
      <c r="G88" s="21" t="s">
        <v>45</v>
      </c>
      <c r="H88">
        <v>10</v>
      </c>
      <c r="I88">
        <v>10</v>
      </c>
      <c r="J88" t="s">
        <v>1392</v>
      </c>
      <c r="K88" s="8" t="s">
        <v>186</v>
      </c>
      <c r="L88" s="8" t="s">
        <v>187</v>
      </c>
      <c r="M88" s="8" t="s">
        <v>1466</v>
      </c>
      <c r="N88" s="11">
        <f t="shared" si="110"/>
        <v>1876.2226640159045</v>
      </c>
      <c r="O88" s="161">
        <f t="shared" si="100"/>
        <v>9437.4</v>
      </c>
      <c r="P88" s="5" t="s">
        <v>25</v>
      </c>
      <c r="Q88" s="277"/>
      <c r="R88" s="5" t="s">
        <v>221</v>
      </c>
      <c r="S88" t="s">
        <v>25</v>
      </c>
      <c r="T88" s="200">
        <f t="shared" si="111"/>
        <v>3.7753479125248506E-2</v>
      </c>
      <c r="U88" s="12">
        <f t="shared" si="112"/>
        <v>4.4045036289114624E-2</v>
      </c>
      <c r="V88" s="162">
        <f t="shared" si="113"/>
        <v>28.143339960238563</v>
      </c>
      <c r="W88" s="163">
        <f t="shared" si="114"/>
        <v>0.20341770709078857</v>
      </c>
      <c r="X88" s="22">
        <f t="shared" si="101"/>
        <v>0.18989999999999999</v>
      </c>
      <c r="Y88" s="160">
        <f t="shared" si="102"/>
        <v>0.22154653253424658</v>
      </c>
      <c r="Z88">
        <f t="shared" si="103"/>
        <v>141.56099999999998</v>
      </c>
      <c r="AA88" s="6">
        <f t="shared" si="104"/>
        <v>1.0231910666666666</v>
      </c>
      <c r="AB88" s="5" t="s">
        <v>222</v>
      </c>
      <c r="AC88" s="11">
        <v>5.03</v>
      </c>
      <c r="AD88" s="13">
        <f t="shared" si="115"/>
        <v>0.85089463220675943</v>
      </c>
    </row>
    <row r="89" spans="2:30" ht="72" customHeight="1" x14ac:dyDescent="0.3">
      <c r="B89" s="247" t="s">
        <v>1207</v>
      </c>
      <c r="C89" s="159">
        <f t="shared" si="109"/>
        <v>114.02714932126698</v>
      </c>
      <c r="D89" s="159">
        <f t="shared" ref="D89:D120" si="116">$C89/$AC89</f>
        <v>22.624434389140273</v>
      </c>
      <c r="E89" s="5" t="s">
        <v>1228</v>
      </c>
      <c r="F89" s="5" t="s">
        <v>1229</v>
      </c>
      <c r="G89" s="21" t="s">
        <v>45</v>
      </c>
      <c r="H89">
        <v>10</v>
      </c>
      <c r="I89">
        <v>10</v>
      </c>
      <c r="J89" t="s">
        <v>1392</v>
      </c>
      <c r="K89" s="8" t="s">
        <v>186</v>
      </c>
      <c r="L89" s="8" t="s">
        <v>187</v>
      </c>
      <c r="M89" s="8" t="s">
        <v>1466</v>
      </c>
      <c r="N89" s="11">
        <f t="shared" si="110"/>
        <v>1852.1904761904761</v>
      </c>
      <c r="O89" s="161">
        <f t="shared" si="100"/>
        <v>9335.0399999999991</v>
      </c>
      <c r="P89" s="5" t="s">
        <v>25</v>
      </c>
      <c r="Q89" s="277"/>
      <c r="R89" s="5" t="s">
        <v>221</v>
      </c>
      <c r="S89" t="s">
        <v>25</v>
      </c>
      <c r="T89" s="200">
        <f t="shared" si="111"/>
        <v>3.7678571428571436E-2</v>
      </c>
      <c r="U89" s="12">
        <f t="shared" si="112"/>
        <v>4.3889541204609701E-2</v>
      </c>
      <c r="V89" s="162">
        <f t="shared" si="113"/>
        <v>27.782857142857143</v>
      </c>
      <c r="W89" s="163">
        <f t="shared" si="114"/>
        <v>0.20091622826908542</v>
      </c>
      <c r="X89" s="22">
        <f t="shared" si="101"/>
        <v>0.18990000000000004</v>
      </c>
      <c r="Y89" s="160">
        <f t="shared" si="102"/>
        <v>0.2212032876712329</v>
      </c>
      <c r="Z89">
        <f t="shared" si="103"/>
        <v>140.0256</v>
      </c>
      <c r="AA89" s="6">
        <f t="shared" si="104"/>
        <v>1.0126177904761906</v>
      </c>
      <c r="AB89" s="5" t="s">
        <v>222</v>
      </c>
      <c r="AC89" s="11">
        <v>5.04</v>
      </c>
      <c r="AD89" s="13">
        <f t="shared" si="115"/>
        <v>0.87698412698412698</v>
      </c>
    </row>
    <row r="90" spans="2:30" ht="57.6" x14ac:dyDescent="0.3">
      <c r="B90" s="247" t="s">
        <v>1207</v>
      </c>
      <c r="C90" s="159">
        <f t="shared" si="109"/>
        <v>337.92325056433413</v>
      </c>
      <c r="D90" s="159">
        <f t="shared" si="116"/>
        <v>67.720090293453737</v>
      </c>
      <c r="E90" s="5" t="s">
        <v>1230</v>
      </c>
      <c r="F90" s="5" t="s">
        <v>1231</v>
      </c>
      <c r="G90" s="21" t="s">
        <v>45</v>
      </c>
      <c r="H90">
        <v>10</v>
      </c>
      <c r="I90">
        <v>10</v>
      </c>
      <c r="J90" t="s">
        <v>1392</v>
      </c>
      <c r="K90" s="8" t="s">
        <v>186</v>
      </c>
      <c r="L90" s="8" t="s">
        <v>187</v>
      </c>
      <c r="M90" s="8" t="s">
        <v>1466</v>
      </c>
      <c r="N90" s="11">
        <f t="shared" si="110"/>
        <v>1349.4188376753505</v>
      </c>
      <c r="O90" s="161">
        <f t="shared" si="100"/>
        <v>6733.5999999999995</v>
      </c>
      <c r="P90" s="5" t="s">
        <v>453</v>
      </c>
      <c r="Q90" s="277"/>
      <c r="R90" s="5" t="s">
        <v>221</v>
      </c>
      <c r="S90" t="s">
        <v>25</v>
      </c>
      <c r="T90" s="200">
        <f t="shared" si="111"/>
        <v>3.80561122244489E-2</v>
      </c>
      <c r="U90" s="12">
        <f t="shared" si="112"/>
        <v>4.258113258480431E-2</v>
      </c>
      <c r="V90" s="162">
        <f t="shared" si="113"/>
        <v>20.241282565130259</v>
      </c>
      <c r="W90" s="163">
        <f t="shared" si="114"/>
        <v>0.14707819830136462</v>
      </c>
      <c r="X90" s="22">
        <f t="shared" si="101"/>
        <v>0.18990000000000001</v>
      </c>
      <c r="Y90" s="160">
        <f t="shared" si="102"/>
        <v>0.21247985159817351</v>
      </c>
      <c r="Z90">
        <f t="shared" si="103"/>
        <v>101.00399999999999</v>
      </c>
      <c r="AA90" s="6">
        <f t="shared" si="104"/>
        <v>0.73392020952380954</v>
      </c>
      <c r="AB90" s="5" t="s">
        <v>222</v>
      </c>
      <c r="AC90" s="11">
        <v>4.99</v>
      </c>
      <c r="AD90" s="13">
        <f t="shared" si="115"/>
        <v>0.8877755511022043</v>
      </c>
    </row>
    <row r="91" spans="2:30" ht="57.6" x14ac:dyDescent="0.3">
      <c r="B91" s="247" t="s">
        <v>1207</v>
      </c>
      <c r="C91" s="159">
        <f t="shared" si="109"/>
        <v>532.29398663697111</v>
      </c>
      <c r="D91" s="159">
        <f t="shared" si="116"/>
        <v>111.358574610245</v>
      </c>
      <c r="E91" s="5" t="s">
        <v>1232</v>
      </c>
      <c r="F91" s="5" t="s">
        <v>1233</v>
      </c>
      <c r="G91" s="21" t="s">
        <v>45</v>
      </c>
      <c r="H91">
        <v>10</v>
      </c>
      <c r="I91">
        <v>10</v>
      </c>
      <c r="J91" t="s">
        <v>1392</v>
      </c>
      <c r="K91" s="8" t="s">
        <v>186</v>
      </c>
      <c r="L91" s="8" t="s">
        <v>187</v>
      </c>
      <c r="M91" s="8" t="s">
        <v>1466</v>
      </c>
      <c r="N91" s="11">
        <f t="shared" si="110"/>
        <v>1252.1276150627614</v>
      </c>
      <c r="O91" s="161">
        <f t="shared" si="100"/>
        <v>5985.17</v>
      </c>
      <c r="P91" s="5" t="s">
        <v>453</v>
      </c>
      <c r="Q91" s="277"/>
      <c r="R91" s="5" t="s">
        <v>221</v>
      </c>
      <c r="S91" t="s">
        <v>25</v>
      </c>
      <c r="T91" s="200">
        <f t="shared" si="111"/>
        <v>3.9728033472803348E-2</v>
      </c>
      <c r="U91" s="12">
        <f t="shared" si="112"/>
        <v>4.3926806154592005E-2</v>
      </c>
      <c r="V91" s="162">
        <f t="shared" si="113"/>
        <v>18.781914225941424</v>
      </c>
      <c r="W91" s="163">
        <f t="shared" si="114"/>
        <v>0.13679918011556086</v>
      </c>
      <c r="X91" s="22">
        <f t="shared" si="101"/>
        <v>0.18990000000000001</v>
      </c>
      <c r="Y91" s="160">
        <f t="shared" si="102"/>
        <v>0.20997013341894979</v>
      </c>
      <c r="Z91">
        <f t="shared" si="103"/>
        <v>89.777550000000019</v>
      </c>
      <c r="AA91" s="6">
        <f t="shared" si="104"/>
        <v>0.65390008095238095</v>
      </c>
      <c r="AB91" s="5" t="s">
        <v>222</v>
      </c>
      <c r="AC91" s="11">
        <v>4.78</v>
      </c>
      <c r="AD91" s="13">
        <f t="shared" si="115"/>
        <v>0.93933054393305437</v>
      </c>
    </row>
    <row r="92" spans="2:30" ht="57.6" x14ac:dyDescent="0.3">
      <c r="B92" s="248" t="s">
        <v>1207</v>
      </c>
      <c r="C92" s="176">
        <f t="shared" si="109"/>
        <v>1030.4347826086957</v>
      </c>
      <c r="D92" s="176">
        <f t="shared" si="116"/>
        <v>217.39130434782609</v>
      </c>
      <c r="E92" s="32" t="s">
        <v>1234</v>
      </c>
      <c r="F92" s="32" t="s">
        <v>1235</v>
      </c>
      <c r="G92" s="43" t="s">
        <v>45</v>
      </c>
      <c r="H92" s="35">
        <v>10</v>
      </c>
      <c r="I92" s="35">
        <v>10</v>
      </c>
      <c r="J92" s="35" t="s">
        <v>1392</v>
      </c>
      <c r="K92" s="76" t="s">
        <v>186</v>
      </c>
      <c r="L92" s="76" t="s">
        <v>187</v>
      </c>
      <c r="M92" s="76" t="s">
        <v>1466</v>
      </c>
      <c r="N92" s="60">
        <f t="shared" si="110"/>
        <v>1083.0379746835442</v>
      </c>
      <c r="O92" s="201">
        <f t="shared" si="100"/>
        <v>5133.5999999999995</v>
      </c>
      <c r="P92" s="32" t="s">
        <v>453</v>
      </c>
      <c r="Q92" s="278"/>
      <c r="R92" s="32" t="s">
        <v>221</v>
      </c>
      <c r="S92" s="35" t="s">
        <v>25</v>
      </c>
      <c r="T92" s="217">
        <f t="shared" si="111"/>
        <v>4.0063291139240509E-2</v>
      </c>
      <c r="U92" s="164">
        <f t="shared" si="112"/>
        <v>4.3695053754118258E-2</v>
      </c>
      <c r="V92" s="202">
        <f t="shared" si="113"/>
        <v>16.245569620253161</v>
      </c>
      <c r="W92" s="203">
        <f t="shared" si="114"/>
        <v>0.11877002210166765</v>
      </c>
      <c r="X92" s="44">
        <f t="shared" si="101"/>
        <v>0.18990000000000001</v>
      </c>
      <c r="Y92" s="177">
        <f t="shared" si="102"/>
        <v>0.20711455479452057</v>
      </c>
      <c r="Z92" s="35">
        <f t="shared" si="103"/>
        <v>77.003999999999991</v>
      </c>
      <c r="AA92" s="41">
        <f t="shared" si="104"/>
        <v>0.56296990476190467</v>
      </c>
      <c r="AB92" s="32" t="s">
        <v>222</v>
      </c>
      <c r="AC92" s="60">
        <v>4.74</v>
      </c>
      <c r="AD92" s="64">
        <f t="shared" si="115"/>
        <v>0.97046413502109696</v>
      </c>
    </row>
    <row r="93" spans="2:30" ht="57.6" x14ac:dyDescent="0.3">
      <c r="B93" s="250" t="s">
        <v>1208</v>
      </c>
      <c r="C93" s="179">
        <v>5</v>
      </c>
      <c r="D93" s="180">
        <f t="shared" si="116"/>
        <v>1.1547344110854503</v>
      </c>
      <c r="E93" s="181" t="s">
        <v>1080</v>
      </c>
      <c r="F93" s="181" t="s">
        <v>1081</v>
      </c>
      <c r="G93" s="182" t="s">
        <v>45</v>
      </c>
      <c r="H93" s="186">
        <v>10</v>
      </c>
      <c r="I93" s="186">
        <v>10</v>
      </c>
      <c r="J93" s="186" t="s">
        <v>1392</v>
      </c>
      <c r="K93" s="195" t="s">
        <v>186</v>
      </c>
      <c r="L93" s="195" t="s">
        <v>187</v>
      </c>
      <c r="M93" s="195" t="s">
        <v>1466</v>
      </c>
      <c r="N93" s="186">
        <v>6000</v>
      </c>
      <c r="O93" s="196">
        <f t="shared" si="100"/>
        <v>25980</v>
      </c>
      <c r="P93" s="181" t="s">
        <v>25</v>
      </c>
      <c r="Q93" s="276" t="s">
        <v>188</v>
      </c>
      <c r="R93" s="181" t="s">
        <v>221</v>
      </c>
      <c r="S93" s="186" t="s">
        <v>25</v>
      </c>
      <c r="T93" s="200">
        <f>0.2872/AC93</f>
        <v>6.6327944572748265E-2</v>
      </c>
      <c r="U93" s="197">
        <f>$N93*47%/(8760*37%*20)+$T93</f>
        <v>0.10983035108885342</v>
      </c>
      <c r="V93" s="198">
        <f>70</f>
        <v>70</v>
      </c>
      <c r="W93" s="199">
        <f t="shared" si="86"/>
        <v>0.50281333333333333</v>
      </c>
      <c r="X93" s="188">
        <f t="shared" si="101"/>
        <v>0.28720000000000001</v>
      </c>
      <c r="Y93" s="185">
        <f t="shared" si="102"/>
        <v>0.4755654202147353</v>
      </c>
      <c r="Z93" s="186">
        <f t="shared" si="103"/>
        <v>303.10000000000002</v>
      </c>
      <c r="AA93" s="187">
        <f t="shared" si="104"/>
        <v>2.1771817333333332</v>
      </c>
      <c r="AB93" s="181" t="s">
        <v>222</v>
      </c>
      <c r="AC93" s="192">
        <v>4.33</v>
      </c>
    </row>
    <row r="94" spans="2:30" ht="57.6" x14ac:dyDescent="0.3">
      <c r="B94" s="107" t="s">
        <v>1208</v>
      </c>
      <c r="C94" s="3">
        <v>10</v>
      </c>
      <c r="D94" s="159">
        <f t="shared" si="116"/>
        <v>2.3094688221709005</v>
      </c>
      <c r="E94" s="5" t="s">
        <v>1082</v>
      </c>
      <c r="F94" s="5" t="s">
        <v>1083</v>
      </c>
      <c r="G94" s="21" t="s">
        <v>45</v>
      </c>
      <c r="H94">
        <v>10</v>
      </c>
      <c r="I94">
        <v>10</v>
      </c>
      <c r="J94" t="s">
        <v>1392</v>
      </c>
      <c r="K94" s="8" t="s">
        <v>186</v>
      </c>
      <c r="L94" s="8" t="s">
        <v>187</v>
      </c>
      <c r="M94" s="8" t="s">
        <v>1466</v>
      </c>
      <c r="N94" s="161">
        <v>4650</v>
      </c>
      <c r="O94" s="161">
        <f t="shared" si="100"/>
        <v>20134.5</v>
      </c>
      <c r="P94" s="5" t="s">
        <v>25</v>
      </c>
      <c r="Q94" s="277"/>
      <c r="R94" s="5" t="s">
        <v>221</v>
      </c>
      <c r="S94" t="s">
        <v>25</v>
      </c>
      <c r="T94" s="200">
        <f t="shared" ref="T94:T95" si="117">0.2872/AC94</f>
        <v>6.6327944572748265E-2</v>
      </c>
      <c r="U94" s="12">
        <f>$N94*47%/(8760*37%*20)+$T94</f>
        <v>0.10004230962272975</v>
      </c>
      <c r="V94" s="162">
        <f t="shared" ref="V94:V104" si="118">1.5%*$N94</f>
        <v>69.75</v>
      </c>
      <c r="W94" s="163">
        <f t="shared" si="86"/>
        <v>0.50102761904761905</v>
      </c>
      <c r="X94" s="22">
        <f t="shared" si="101"/>
        <v>0.28720000000000001</v>
      </c>
      <c r="Y94" s="160">
        <f t="shared" si="102"/>
        <v>0.43318320066641985</v>
      </c>
      <c r="Z94">
        <f t="shared" si="103"/>
        <v>302.01749999999998</v>
      </c>
      <c r="AA94" s="6">
        <f t="shared" si="104"/>
        <v>2.1694495904761903</v>
      </c>
      <c r="AB94" s="5" t="s">
        <v>222</v>
      </c>
      <c r="AC94" s="11">
        <v>4.33</v>
      </c>
    </row>
    <row r="95" spans="2:30" ht="57.6" x14ac:dyDescent="0.3">
      <c r="B95" s="107" t="s">
        <v>1208</v>
      </c>
      <c r="C95" s="3">
        <v>20</v>
      </c>
      <c r="D95" s="159">
        <f t="shared" si="116"/>
        <v>4.6189376443418011</v>
      </c>
      <c r="E95" s="5" t="s">
        <v>1084</v>
      </c>
      <c r="F95" s="5" t="s">
        <v>1085</v>
      </c>
      <c r="G95" s="21" t="s">
        <v>45</v>
      </c>
      <c r="H95">
        <v>10</v>
      </c>
      <c r="I95">
        <v>10</v>
      </c>
      <c r="J95" t="s">
        <v>1392</v>
      </c>
      <c r="K95" s="8" t="s">
        <v>186</v>
      </c>
      <c r="L95" s="8" t="s">
        <v>187</v>
      </c>
      <c r="M95" s="8" t="s">
        <v>1466</v>
      </c>
      <c r="N95" s="161">
        <v>3730</v>
      </c>
      <c r="O95" s="161">
        <f t="shared" si="100"/>
        <v>16150.9</v>
      </c>
      <c r="P95" s="5" t="s">
        <v>25</v>
      </c>
      <c r="Q95" s="277"/>
      <c r="R95" s="5" t="s">
        <v>221</v>
      </c>
      <c r="S95" t="s">
        <v>25</v>
      </c>
      <c r="T95" s="200">
        <f t="shared" si="117"/>
        <v>6.6327944572748265E-2</v>
      </c>
      <c r="U95" s="12">
        <f>$N95*47%/(8760*37%*20)+$T95</f>
        <v>9.3371940623593636E-2</v>
      </c>
      <c r="V95" s="162">
        <f t="shared" si="118"/>
        <v>55.949999999999996</v>
      </c>
      <c r="W95" s="163">
        <f t="shared" si="86"/>
        <v>0.40245619047619047</v>
      </c>
      <c r="X95" s="22">
        <f t="shared" si="101"/>
        <v>0.28720000000000001</v>
      </c>
      <c r="Y95" s="160">
        <f t="shared" si="102"/>
        <v>0.40430050290016045</v>
      </c>
      <c r="Z95">
        <f t="shared" si="103"/>
        <v>242.26349999999999</v>
      </c>
      <c r="AA95" s="6">
        <f t="shared" si="104"/>
        <v>1.7426353047619048</v>
      </c>
      <c r="AB95" s="5" t="s">
        <v>222</v>
      </c>
      <c r="AC95" s="11">
        <v>4.33</v>
      </c>
    </row>
    <row r="96" spans="2:30" ht="57.6" x14ac:dyDescent="0.3">
      <c r="B96" s="107" t="s">
        <v>1208</v>
      </c>
      <c r="C96" s="3">
        <v>30</v>
      </c>
      <c r="D96" s="159">
        <f t="shared" si="116"/>
        <v>6.9284064665127021</v>
      </c>
      <c r="E96" s="5" t="s">
        <v>1086</v>
      </c>
      <c r="F96" s="5" t="s">
        <v>1087</v>
      </c>
      <c r="G96" s="21" t="s">
        <v>45</v>
      </c>
      <c r="H96">
        <v>10</v>
      </c>
      <c r="I96">
        <v>10</v>
      </c>
      <c r="J96" t="s">
        <v>1392</v>
      </c>
      <c r="K96" s="8" t="s">
        <v>186</v>
      </c>
      <c r="L96" s="8" t="s">
        <v>187</v>
      </c>
      <c r="M96" s="8" t="s">
        <v>1466</v>
      </c>
      <c r="N96" s="161">
        <v>3550</v>
      </c>
      <c r="O96" s="161">
        <f t="shared" si="100"/>
        <v>15371.5</v>
      </c>
      <c r="P96" s="5" t="s">
        <v>25</v>
      </c>
      <c r="Q96" s="277"/>
      <c r="R96" s="5" t="s">
        <v>221</v>
      </c>
      <c r="S96" t="s">
        <v>25</v>
      </c>
      <c r="T96" s="200">
        <f>0.1899/AC96</f>
        <v>4.3856812933025409E-2</v>
      </c>
      <c r="U96" s="12">
        <f t="shared" ref="U96:U104" si="119">$N96*47%/(8760*80%*20)+$T96</f>
        <v>5.5761065216130432E-2</v>
      </c>
      <c r="V96" s="162">
        <f t="shared" si="118"/>
        <v>53.25</v>
      </c>
      <c r="W96" s="163">
        <f t="shared" si="86"/>
        <v>0.38317047619047617</v>
      </c>
      <c r="X96" s="22">
        <f t="shared" si="101"/>
        <v>0.18990000000000001</v>
      </c>
      <c r="Y96" s="160">
        <f t="shared" si="102"/>
        <v>0.24144541238584477</v>
      </c>
      <c r="Z96">
        <f t="shared" si="103"/>
        <v>230.57249999999999</v>
      </c>
      <c r="AA96" s="6">
        <f t="shared" si="104"/>
        <v>1.6591281619047618</v>
      </c>
      <c r="AB96" s="5" t="s">
        <v>222</v>
      </c>
      <c r="AC96" s="11">
        <v>4.33</v>
      </c>
    </row>
    <row r="97" spans="2:30" ht="57.6" x14ac:dyDescent="0.3">
      <c r="B97" s="107" t="s">
        <v>1208</v>
      </c>
      <c r="C97" s="3">
        <v>40</v>
      </c>
      <c r="D97" s="159">
        <f t="shared" si="116"/>
        <v>9.2378752886836022</v>
      </c>
      <c r="E97" s="5" t="s">
        <v>1088</v>
      </c>
      <c r="F97" s="5" t="s">
        <v>1089</v>
      </c>
      <c r="G97" s="21" t="s">
        <v>45</v>
      </c>
      <c r="H97">
        <v>10</v>
      </c>
      <c r="I97">
        <v>10</v>
      </c>
      <c r="J97" t="s">
        <v>1392</v>
      </c>
      <c r="K97" s="8" t="s">
        <v>186</v>
      </c>
      <c r="L97" s="8" t="s">
        <v>187</v>
      </c>
      <c r="M97" s="8" t="s">
        <v>1466</v>
      </c>
      <c r="N97" s="161">
        <v>3370</v>
      </c>
      <c r="O97" s="161">
        <f t="shared" si="100"/>
        <v>14592.1</v>
      </c>
      <c r="P97" s="5" t="s">
        <v>25</v>
      </c>
      <c r="Q97" s="277"/>
      <c r="R97" s="5" t="s">
        <v>221</v>
      </c>
      <c r="S97" t="s">
        <v>25</v>
      </c>
      <c r="T97" s="200">
        <f t="shared" ref="T97:T104" si="120">0.1899/AC97</f>
        <v>4.3856812933025409E-2</v>
      </c>
      <c r="U97" s="12">
        <f t="shared" si="119"/>
        <v>5.5157469325719473E-2</v>
      </c>
      <c r="V97" s="162">
        <f t="shared" si="118"/>
        <v>50.55</v>
      </c>
      <c r="W97" s="163">
        <f t="shared" si="86"/>
        <v>0.36388476190476188</v>
      </c>
      <c r="X97" s="22">
        <f t="shared" si="101"/>
        <v>0.18990000000000001</v>
      </c>
      <c r="Y97" s="160">
        <f t="shared" si="102"/>
        <v>0.23883184218036532</v>
      </c>
      <c r="Z97">
        <f t="shared" si="103"/>
        <v>218.88149999999999</v>
      </c>
      <c r="AA97" s="6">
        <f t="shared" si="104"/>
        <v>1.575621019047619</v>
      </c>
      <c r="AB97" s="5" t="s">
        <v>222</v>
      </c>
      <c r="AC97" s="11">
        <v>4.33</v>
      </c>
    </row>
    <row r="98" spans="2:30" ht="57.6" x14ac:dyDescent="0.3">
      <c r="B98" s="107" t="s">
        <v>1208</v>
      </c>
      <c r="C98" s="3">
        <v>50</v>
      </c>
      <c r="D98" s="159">
        <f t="shared" si="116"/>
        <v>11.547344110854503</v>
      </c>
      <c r="E98" s="5" t="s">
        <v>1090</v>
      </c>
      <c r="F98" s="5" t="s">
        <v>1091</v>
      </c>
      <c r="G98" s="21" t="s">
        <v>45</v>
      </c>
      <c r="H98">
        <v>10</v>
      </c>
      <c r="I98">
        <v>10</v>
      </c>
      <c r="J98" t="s">
        <v>1392</v>
      </c>
      <c r="K98" s="8" t="s">
        <v>186</v>
      </c>
      <c r="L98" s="8" t="s">
        <v>187</v>
      </c>
      <c r="M98" s="8" t="s">
        <v>1466</v>
      </c>
      <c r="N98" s="161">
        <v>3190</v>
      </c>
      <c r="O98" s="161">
        <f t="shared" si="100"/>
        <v>13812.7</v>
      </c>
      <c r="P98" s="5" t="s">
        <v>25</v>
      </c>
      <c r="Q98" s="277"/>
      <c r="R98" s="5" t="s">
        <v>221</v>
      </c>
      <c r="S98" t="s">
        <v>25</v>
      </c>
      <c r="T98" s="200">
        <f t="shared" si="120"/>
        <v>4.3856812933025409E-2</v>
      </c>
      <c r="U98" s="12">
        <f t="shared" si="119"/>
        <v>5.4553873435308514E-2</v>
      </c>
      <c r="V98" s="162">
        <f t="shared" si="118"/>
        <v>47.85</v>
      </c>
      <c r="W98" s="163">
        <f t="shared" si="86"/>
        <v>0.34459904761904764</v>
      </c>
      <c r="X98" s="22">
        <f t="shared" si="101"/>
        <v>0.18990000000000001</v>
      </c>
      <c r="Y98" s="160">
        <f t="shared" si="102"/>
        <v>0.23621827197488587</v>
      </c>
      <c r="Z98">
        <f t="shared" si="103"/>
        <v>207.19050000000001</v>
      </c>
      <c r="AA98" s="6">
        <f t="shared" si="104"/>
        <v>1.4921138761904762</v>
      </c>
      <c r="AB98" s="5" t="s">
        <v>222</v>
      </c>
      <c r="AC98" s="11">
        <v>4.33</v>
      </c>
    </row>
    <row r="99" spans="2:30" ht="57.6" x14ac:dyDescent="0.3">
      <c r="B99" s="107" t="s">
        <v>1208</v>
      </c>
      <c r="C99" s="3">
        <v>60</v>
      </c>
      <c r="D99" s="159">
        <f t="shared" si="116"/>
        <v>13.856812933025404</v>
      </c>
      <c r="E99" s="5" t="s">
        <v>1092</v>
      </c>
      <c r="F99" s="5" t="s">
        <v>1093</v>
      </c>
      <c r="G99" s="21" t="s">
        <v>45</v>
      </c>
      <c r="H99">
        <v>10</v>
      </c>
      <c r="I99">
        <v>10</v>
      </c>
      <c r="J99" t="s">
        <v>1392</v>
      </c>
      <c r="K99" s="8" t="s">
        <v>186</v>
      </c>
      <c r="L99" s="8" t="s">
        <v>187</v>
      </c>
      <c r="M99" s="8" t="s">
        <v>1466</v>
      </c>
      <c r="N99" s="161">
        <v>3060</v>
      </c>
      <c r="O99" s="161">
        <f t="shared" si="100"/>
        <v>13249.800000000001</v>
      </c>
      <c r="P99" s="5" t="s">
        <v>25</v>
      </c>
      <c r="Q99" s="277"/>
      <c r="R99" s="5" t="s">
        <v>221</v>
      </c>
      <c r="S99" t="s">
        <v>25</v>
      </c>
      <c r="T99" s="200">
        <f t="shared" si="120"/>
        <v>4.3856812933025409E-2</v>
      </c>
      <c r="U99" s="12">
        <f t="shared" si="119"/>
        <v>5.4117943070011706E-2</v>
      </c>
      <c r="V99" s="162">
        <f t="shared" si="118"/>
        <v>45.9</v>
      </c>
      <c r="W99" s="163">
        <f t="shared" si="86"/>
        <v>0.33067047619047618</v>
      </c>
      <c r="X99" s="22">
        <f t="shared" si="101"/>
        <v>0.18990000000000001</v>
      </c>
      <c r="Y99" s="160">
        <f t="shared" si="102"/>
        <v>0.23433069349315069</v>
      </c>
      <c r="Z99">
        <f t="shared" si="103"/>
        <v>198.74699999999999</v>
      </c>
      <c r="AA99" s="6">
        <f t="shared" si="104"/>
        <v>1.431803161904762</v>
      </c>
      <c r="AB99" s="5" t="s">
        <v>222</v>
      </c>
      <c r="AC99" s="11">
        <v>4.33</v>
      </c>
    </row>
    <row r="100" spans="2:30" ht="57.6" x14ac:dyDescent="0.3">
      <c r="B100" s="107" t="s">
        <v>1208</v>
      </c>
      <c r="C100" s="3">
        <v>80</v>
      </c>
      <c r="D100" s="159">
        <f t="shared" si="116"/>
        <v>18.691588785046729</v>
      </c>
      <c r="E100" s="5" t="s">
        <v>1094</v>
      </c>
      <c r="F100" s="5" t="s">
        <v>1095</v>
      </c>
      <c r="G100" s="21" t="s">
        <v>45</v>
      </c>
      <c r="H100">
        <v>10</v>
      </c>
      <c r="I100">
        <v>10</v>
      </c>
      <c r="J100" t="s">
        <v>1392</v>
      </c>
      <c r="K100" s="8" t="s">
        <v>186</v>
      </c>
      <c r="L100" s="8" t="s">
        <v>187</v>
      </c>
      <c r="M100" s="8" t="s">
        <v>1466</v>
      </c>
      <c r="N100" s="161">
        <v>2870</v>
      </c>
      <c r="O100" s="161">
        <f t="shared" si="100"/>
        <v>12283.6</v>
      </c>
      <c r="P100" s="5" t="s">
        <v>25</v>
      </c>
      <c r="Q100" s="277"/>
      <c r="R100" s="5" t="s">
        <v>221</v>
      </c>
      <c r="S100" t="s">
        <v>25</v>
      </c>
      <c r="T100" s="200">
        <f t="shared" si="120"/>
        <v>4.4369158878504671E-2</v>
      </c>
      <c r="U100" s="12">
        <f t="shared" si="119"/>
        <v>5.3993160020057183E-2</v>
      </c>
      <c r="V100" s="162">
        <f t="shared" si="118"/>
        <v>43.05</v>
      </c>
      <c r="W100" s="163">
        <f t="shared" si="86"/>
        <v>0.31031333333333333</v>
      </c>
      <c r="X100" s="22">
        <f t="shared" si="101"/>
        <v>0.18990000000000001</v>
      </c>
      <c r="Y100" s="160">
        <f t="shared" si="102"/>
        <v>0.23109072488584476</v>
      </c>
      <c r="Z100">
        <f t="shared" si="103"/>
        <v>184.25399999999999</v>
      </c>
      <c r="AA100" s="6">
        <f t="shared" si="104"/>
        <v>1.3281410666666666</v>
      </c>
      <c r="AB100" s="5" t="s">
        <v>222</v>
      </c>
      <c r="AC100" s="11">
        <v>4.28</v>
      </c>
    </row>
    <row r="101" spans="2:30" ht="57.6" x14ac:dyDescent="0.3">
      <c r="B101" s="107" t="s">
        <v>1208</v>
      </c>
      <c r="C101" s="3">
        <v>100</v>
      </c>
      <c r="D101" s="159">
        <f t="shared" si="116"/>
        <v>22.624434389140273</v>
      </c>
      <c r="E101" s="5" t="s">
        <v>1096</v>
      </c>
      <c r="F101" s="5" t="s">
        <v>1097</v>
      </c>
      <c r="G101" s="21" t="s">
        <v>45</v>
      </c>
      <c r="H101">
        <v>10</v>
      </c>
      <c r="I101">
        <v>10</v>
      </c>
      <c r="J101" t="s">
        <v>1392</v>
      </c>
      <c r="K101" s="8" t="s">
        <v>186</v>
      </c>
      <c r="L101" s="8" t="s">
        <v>187</v>
      </c>
      <c r="M101" s="8" t="s">
        <v>1466</v>
      </c>
      <c r="N101" s="161">
        <v>2770</v>
      </c>
      <c r="O101" s="161">
        <f t="shared" ref="O101:O132" si="121">$N101*AC101</f>
        <v>12243.4</v>
      </c>
      <c r="P101" s="5" t="s">
        <v>25</v>
      </c>
      <c r="Q101" s="277"/>
      <c r="R101" s="5" t="s">
        <v>221</v>
      </c>
      <c r="S101" t="s">
        <v>25</v>
      </c>
      <c r="T101" s="200">
        <f t="shared" si="120"/>
        <v>4.2963800904977381E-2</v>
      </c>
      <c r="U101" s="12">
        <f t="shared" si="119"/>
        <v>5.2252470996301578E-2</v>
      </c>
      <c r="V101" s="162">
        <f t="shared" si="118"/>
        <v>41.55</v>
      </c>
      <c r="W101" s="163">
        <f t="shared" si="86"/>
        <v>0.2995990476190476</v>
      </c>
      <c r="X101" s="22">
        <f t="shared" ref="X101:X132" si="122">T101*AC101</f>
        <v>0.18990000000000001</v>
      </c>
      <c r="Y101" s="160">
        <f t="shared" ref="Y101:Y132" si="123">U101*AC101</f>
        <v>0.23095592180365296</v>
      </c>
      <c r="Z101">
        <f t="shared" ref="Z101:Z132" si="124">V101*AC101</f>
        <v>183.65099999999998</v>
      </c>
      <c r="AA101" s="6">
        <f t="shared" ref="AA101:AA132" si="125">W101*AC101</f>
        <v>1.3242277904761903</v>
      </c>
      <c r="AB101" s="5" t="s">
        <v>222</v>
      </c>
      <c r="AC101" s="11">
        <v>4.42</v>
      </c>
    </row>
    <row r="102" spans="2:30" ht="57.6" x14ac:dyDescent="0.3">
      <c r="B102" s="107" t="s">
        <v>1208</v>
      </c>
      <c r="C102" s="3">
        <v>300</v>
      </c>
      <c r="D102" s="159">
        <f t="shared" si="116"/>
        <v>67.720090293453723</v>
      </c>
      <c r="E102" s="5" t="s">
        <v>1098</v>
      </c>
      <c r="F102" s="5" t="s">
        <v>1099</v>
      </c>
      <c r="G102" s="21" t="s">
        <v>45</v>
      </c>
      <c r="H102">
        <v>10</v>
      </c>
      <c r="I102">
        <v>10</v>
      </c>
      <c r="J102" t="s">
        <v>1392</v>
      </c>
      <c r="K102" s="8" t="s">
        <v>186</v>
      </c>
      <c r="L102" s="8" t="s">
        <v>187</v>
      </c>
      <c r="M102" s="8" t="s">
        <v>1466</v>
      </c>
      <c r="N102" s="161">
        <v>2037</v>
      </c>
      <c r="O102" s="161">
        <f t="shared" si="121"/>
        <v>9023.91</v>
      </c>
      <c r="P102" s="5" t="s">
        <v>453</v>
      </c>
      <c r="Q102" s="277"/>
      <c r="R102" s="5" t="s">
        <v>221</v>
      </c>
      <c r="S102" t="s">
        <v>25</v>
      </c>
      <c r="T102" s="200">
        <f t="shared" si="120"/>
        <v>4.2866817155756215E-2</v>
      </c>
      <c r="U102" s="12">
        <f t="shared" si="119"/>
        <v>4.9697510648906901E-2</v>
      </c>
      <c r="V102" s="162">
        <f t="shared" si="118"/>
        <v>30.555</v>
      </c>
      <c r="W102" s="163">
        <f t="shared" si="86"/>
        <v>0.22106333333333333</v>
      </c>
      <c r="X102" s="22">
        <f t="shared" si="122"/>
        <v>0.18990000000000001</v>
      </c>
      <c r="Y102" s="160">
        <f t="shared" si="123"/>
        <v>0.22015997217465755</v>
      </c>
      <c r="Z102">
        <f t="shared" si="124"/>
        <v>135.35864999999998</v>
      </c>
      <c r="AA102" s="6">
        <f t="shared" si="125"/>
        <v>0.9793105666666666</v>
      </c>
      <c r="AB102" s="5" t="s">
        <v>222</v>
      </c>
      <c r="AC102" s="11">
        <v>4.43</v>
      </c>
    </row>
    <row r="103" spans="2:30" ht="57.6" x14ac:dyDescent="0.3">
      <c r="B103" s="107" t="s">
        <v>1208</v>
      </c>
      <c r="C103" s="3">
        <v>500</v>
      </c>
      <c r="D103" s="159">
        <f t="shared" si="116"/>
        <v>111.35857461024499</v>
      </c>
      <c r="E103" s="5" t="s">
        <v>1100</v>
      </c>
      <c r="F103" s="5" t="s">
        <v>1101</v>
      </c>
      <c r="G103" s="21" t="s">
        <v>45</v>
      </c>
      <c r="H103">
        <v>10</v>
      </c>
      <c r="I103">
        <v>10</v>
      </c>
      <c r="J103" t="s">
        <v>1392</v>
      </c>
      <c r="K103" s="8" t="s">
        <v>186</v>
      </c>
      <c r="L103" s="8" t="s">
        <v>187</v>
      </c>
      <c r="M103" s="8" t="s">
        <v>1466</v>
      </c>
      <c r="N103" s="161">
        <v>1794</v>
      </c>
      <c r="O103" s="161">
        <f t="shared" si="121"/>
        <v>8055.06</v>
      </c>
      <c r="P103" s="5" t="s">
        <v>453</v>
      </c>
      <c r="Q103" s="277"/>
      <c r="R103" s="5" t="s">
        <v>221</v>
      </c>
      <c r="S103" t="s">
        <v>25</v>
      </c>
      <c r="T103" s="200">
        <f t="shared" si="120"/>
        <v>4.2293986636971051E-2</v>
      </c>
      <c r="U103" s="12">
        <f t="shared" si="119"/>
        <v>4.8309825678066944E-2</v>
      </c>
      <c r="V103" s="162">
        <f t="shared" si="118"/>
        <v>26.91</v>
      </c>
      <c r="W103" s="163">
        <f t="shared" si="86"/>
        <v>0.19502761904761906</v>
      </c>
      <c r="X103" s="22">
        <f t="shared" si="122"/>
        <v>0.18990000000000004</v>
      </c>
      <c r="Y103" s="160">
        <f t="shared" si="123"/>
        <v>0.21691111729452059</v>
      </c>
      <c r="Z103">
        <f t="shared" si="124"/>
        <v>120.8259</v>
      </c>
      <c r="AA103" s="6">
        <f t="shared" si="125"/>
        <v>0.87567400952380958</v>
      </c>
      <c r="AB103" s="5" t="s">
        <v>222</v>
      </c>
      <c r="AC103" s="11">
        <v>4.49</v>
      </c>
    </row>
    <row r="104" spans="2:30" ht="57.6" x14ac:dyDescent="0.3">
      <c r="B104" s="108" t="s">
        <v>1208</v>
      </c>
      <c r="C104" s="30">
        <v>1000</v>
      </c>
      <c r="D104" s="176">
        <f t="shared" si="116"/>
        <v>217.39130434782609</v>
      </c>
      <c r="E104" s="32" t="s">
        <v>1102</v>
      </c>
      <c r="F104" s="32" t="s">
        <v>1103</v>
      </c>
      <c r="G104" s="43" t="s">
        <v>45</v>
      </c>
      <c r="H104" s="35">
        <v>10</v>
      </c>
      <c r="I104" s="35">
        <v>10</v>
      </c>
      <c r="J104" s="35" t="s">
        <v>1392</v>
      </c>
      <c r="K104" s="76" t="s">
        <v>186</v>
      </c>
      <c r="L104" s="76" t="s">
        <v>187</v>
      </c>
      <c r="M104" s="76" t="s">
        <v>1466</v>
      </c>
      <c r="N104" s="201">
        <v>1509</v>
      </c>
      <c r="O104" s="201">
        <f t="shared" si="121"/>
        <v>6941.4</v>
      </c>
      <c r="P104" s="32" t="s">
        <v>453</v>
      </c>
      <c r="Q104" s="278"/>
      <c r="R104" s="32" t="s">
        <v>221</v>
      </c>
      <c r="S104" s="35" t="s">
        <v>25</v>
      </c>
      <c r="T104" s="217">
        <f t="shared" si="120"/>
        <v>4.128260869565218E-2</v>
      </c>
      <c r="U104" s="164">
        <f t="shared" si="119"/>
        <v>4.6342754243597385E-2</v>
      </c>
      <c r="V104" s="202">
        <f t="shared" si="118"/>
        <v>22.634999999999998</v>
      </c>
      <c r="W104" s="203">
        <f t="shared" si="86"/>
        <v>0.16449190476190476</v>
      </c>
      <c r="X104" s="44">
        <f t="shared" si="122"/>
        <v>0.18990000000000001</v>
      </c>
      <c r="Y104" s="177">
        <f t="shared" si="123"/>
        <v>0.21317666952054795</v>
      </c>
      <c r="Z104" s="35">
        <f t="shared" si="124"/>
        <v>104.12099999999998</v>
      </c>
      <c r="AA104" s="41">
        <f t="shared" si="125"/>
        <v>0.75666276190476178</v>
      </c>
      <c r="AB104" s="32" t="s">
        <v>222</v>
      </c>
      <c r="AC104" s="60">
        <v>4.5999999999999996</v>
      </c>
      <c r="AD104" s="35"/>
    </row>
    <row r="105" spans="2:30" ht="57.6" x14ac:dyDescent="0.3">
      <c r="B105" s="247" t="s">
        <v>1209</v>
      </c>
      <c r="C105" s="159">
        <f t="shared" ref="C105:C116" si="126">C93/AD105</f>
        <v>5.8198614318706694</v>
      </c>
      <c r="D105" s="159">
        <f t="shared" si="116"/>
        <v>1.1547344110854503</v>
      </c>
      <c r="E105" s="5" t="s">
        <v>1212</v>
      </c>
      <c r="F105" s="5" t="s">
        <v>1213</v>
      </c>
      <c r="G105" s="21" t="s">
        <v>45</v>
      </c>
      <c r="H105">
        <v>10</v>
      </c>
      <c r="I105">
        <v>10</v>
      </c>
      <c r="J105" t="s">
        <v>1392</v>
      </c>
      <c r="K105" s="8" t="s">
        <v>186</v>
      </c>
      <c r="L105" s="8" t="s">
        <v>187</v>
      </c>
      <c r="M105" s="8" t="s">
        <v>1466</v>
      </c>
      <c r="N105" s="11">
        <f>N93*AD105</f>
        <v>5154.7619047619055</v>
      </c>
      <c r="O105" s="161">
        <f t="shared" si="121"/>
        <v>25980.000000000004</v>
      </c>
      <c r="P105" s="5" t="s">
        <v>25</v>
      </c>
      <c r="Q105" s="276" t="s">
        <v>188</v>
      </c>
      <c r="R105" s="5" t="s">
        <v>221</v>
      </c>
      <c r="S105" t="s">
        <v>25</v>
      </c>
      <c r="T105" s="200">
        <f>T93*AD105</f>
        <v>5.6984126984126984E-2</v>
      </c>
      <c r="U105" s="12">
        <f>U93*AD105</f>
        <v>9.4358218296574467E-2</v>
      </c>
      <c r="V105" s="162">
        <f>V93*AD105</f>
        <v>60.138888888888893</v>
      </c>
      <c r="W105" s="163">
        <f>W93*AD105</f>
        <v>0.4319805026455027</v>
      </c>
      <c r="X105" s="22">
        <f t="shared" si="122"/>
        <v>0.28720000000000001</v>
      </c>
      <c r="Y105" s="160">
        <f t="shared" si="123"/>
        <v>0.4755654202147353</v>
      </c>
      <c r="Z105">
        <f t="shared" si="124"/>
        <v>303.10000000000002</v>
      </c>
      <c r="AA105" s="6">
        <f t="shared" si="125"/>
        <v>2.1771817333333336</v>
      </c>
      <c r="AB105" s="5" t="s">
        <v>222</v>
      </c>
      <c r="AC105" s="11">
        <v>5.04</v>
      </c>
      <c r="AD105" s="13">
        <f>AC93/AC105</f>
        <v>0.85912698412698418</v>
      </c>
    </row>
    <row r="106" spans="2:30" ht="57.6" x14ac:dyDescent="0.3">
      <c r="B106" s="247" t="s">
        <v>1209</v>
      </c>
      <c r="C106" s="159">
        <f t="shared" si="126"/>
        <v>11.639722863741339</v>
      </c>
      <c r="D106" s="159">
        <f t="shared" si="116"/>
        <v>2.3094688221709005</v>
      </c>
      <c r="E106" s="5" t="s">
        <v>1214</v>
      </c>
      <c r="F106" s="5" t="s">
        <v>1215</v>
      </c>
      <c r="G106" s="21" t="s">
        <v>45</v>
      </c>
      <c r="H106">
        <v>10</v>
      </c>
      <c r="I106">
        <v>10</v>
      </c>
      <c r="J106" t="s">
        <v>1392</v>
      </c>
      <c r="K106" s="8" t="s">
        <v>186</v>
      </c>
      <c r="L106" s="8" t="s">
        <v>187</v>
      </c>
      <c r="M106" s="8" t="s">
        <v>1466</v>
      </c>
      <c r="N106" s="11">
        <f t="shared" ref="N106:N116" si="127">N94*AD106</f>
        <v>3994.9404761904766</v>
      </c>
      <c r="O106" s="161">
        <f t="shared" si="121"/>
        <v>20134.500000000004</v>
      </c>
      <c r="P106" s="5" t="s">
        <v>25</v>
      </c>
      <c r="Q106" s="277"/>
      <c r="R106" s="5" t="s">
        <v>221</v>
      </c>
      <c r="S106" t="s">
        <v>25</v>
      </c>
      <c r="T106" s="200">
        <f t="shared" ref="T106:T116" si="128">T94*AD106</f>
        <v>5.6984126984126984E-2</v>
      </c>
      <c r="U106" s="12">
        <f t="shared" ref="U106:U116" si="129">U94*AD106</f>
        <v>8.594904775127378E-2</v>
      </c>
      <c r="V106" s="162">
        <f t="shared" ref="V106:V116" si="130">V94*AD106</f>
        <v>59.924107142857146</v>
      </c>
      <c r="W106" s="163">
        <f t="shared" ref="W106:W116" si="131">W94*AD106</f>
        <v>0.4304463473167045</v>
      </c>
      <c r="X106" s="22">
        <f t="shared" si="122"/>
        <v>0.28720000000000001</v>
      </c>
      <c r="Y106" s="160">
        <f t="shared" si="123"/>
        <v>0.43318320066641985</v>
      </c>
      <c r="Z106">
        <f t="shared" si="124"/>
        <v>302.01750000000004</v>
      </c>
      <c r="AA106" s="6">
        <f t="shared" si="125"/>
        <v>2.1694495904761908</v>
      </c>
      <c r="AB106" s="5" t="s">
        <v>222</v>
      </c>
      <c r="AC106" s="11">
        <v>5.04</v>
      </c>
      <c r="AD106" s="13">
        <f t="shared" ref="AD106:AD116" si="132">AC94/AC106</f>
        <v>0.85912698412698418</v>
      </c>
    </row>
    <row r="107" spans="2:30" ht="57.6" x14ac:dyDescent="0.3">
      <c r="B107" s="247" t="s">
        <v>1209</v>
      </c>
      <c r="C107" s="159">
        <f t="shared" si="126"/>
        <v>23.279445727482678</v>
      </c>
      <c r="D107" s="159">
        <f t="shared" si="116"/>
        <v>4.6189376443418011</v>
      </c>
      <c r="E107" s="5" t="s">
        <v>1216</v>
      </c>
      <c r="F107" s="5" t="s">
        <v>1217</v>
      </c>
      <c r="G107" s="21" t="s">
        <v>45</v>
      </c>
      <c r="H107">
        <v>10</v>
      </c>
      <c r="I107">
        <v>10</v>
      </c>
      <c r="J107" t="s">
        <v>1392</v>
      </c>
      <c r="K107" s="8" t="s">
        <v>186</v>
      </c>
      <c r="L107" s="8" t="s">
        <v>187</v>
      </c>
      <c r="M107" s="8" t="s">
        <v>1466</v>
      </c>
      <c r="N107" s="11">
        <f t="shared" si="127"/>
        <v>3204.5436507936511</v>
      </c>
      <c r="O107" s="161">
        <f t="shared" si="121"/>
        <v>16150.900000000001</v>
      </c>
      <c r="P107" s="5" t="s">
        <v>25</v>
      </c>
      <c r="Q107" s="277"/>
      <c r="R107" s="5" t="s">
        <v>221</v>
      </c>
      <c r="S107" t="s">
        <v>25</v>
      </c>
      <c r="T107" s="200">
        <f t="shared" si="128"/>
        <v>5.6984126984126984E-2</v>
      </c>
      <c r="U107" s="12">
        <f t="shared" si="129"/>
        <v>8.0218353750031834E-2</v>
      </c>
      <c r="V107" s="162">
        <f t="shared" si="130"/>
        <v>48.068154761904765</v>
      </c>
      <c r="W107" s="163">
        <f t="shared" si="131"/>
        <v>0.34576097316704463</v>
      </c>
      <c r="X107" s="22">
        <f t="shared" si="122"/>
        <v>0.28720000000000001</v>
      </c>
      <c r="Y107" s="160">
        <f t="shared" si="123"/>
        <v>0.40430050290016045</v>
      </c>
      <c r="Z107">
        <f t="shared" si="124"/>
        <v>242.26350000000002</v>
      </c>
      <c r="AA107" s="6">
        <f t="shared" si="125"/>
        <v>1.742635304761905</v>
      </c>
      <c r="AB107" s="5" t="s">
        <v>222</v>
      </c>
      <c r="AC107" s="11">
        <v>5.04</v>
      </c>
      <c r="AD107" s="13">
        <f t="shared" si="132"/>
        <v>0.85912698412698418</v>
      </c>
    </row>
    <row r="108" spans="2:30" ht="57.6" x14ac:dyDescent="0.3">
      <c r="B108" s="247" t="s">
        <v>1209</v>
      </c>
      <c r="C108" s="159">
        <f t="shared" si="126"/>
        <v>34.919168591224015</v>
      </c>
      <c r="D108" s="159">
        <f t="shared" si="116"/>
        <v>6.9284064665127012</v>
      </c>
      <c r="E108" s="5" t="s">
        <v>1218</v>
      </c>
      <c r="F108" s="5" t="s">
        <v>1219</v>
      </c>
      <c r="G108" s="21" t="s">
        <v>45</v>
      </c>
      <c r="H108">
        <v>10</v>
      </c>
      <c r="I108">
        <v>10</v>
      </c>
      <c r="J108" t="s">
        <v>1392</v>
      </c>
      <c r="K108" s="8" t="s">
        <v>186</v>
      </c>
      <c r="L108" s="8" t="s">
        <v>187</v>
      </c>
      <c r="M108" s="8" t="s">
        <v>1466</v>
      </c>
      <c r="N108" s="11">
        <f t="shared" si="127"/>
        <v>3049.9007936507937</v>
      </c>
      <c r="O108" s="161">
        <f t="shared" si="121"/>
        <v>15371.5</v>
      </c>
      <c r="P108" s="5" t="s">
        <v>25</v>
      </c>
      <c r="Q108" s="277"/>
      <c r="R108" s="5" t="s">
        <v>221</v>
      </c>
      <c r="S108" t="s">
        <v>25</v>
      </c>
      <c r="T108" s="200">
        <f t="shared" si="128"/>
        <v>3.7678571428571436E-2</v>
      </c>
      <c r="U108" s="12">
        <f t="shared" si="129"/>
        <v>4.7905835790842219E-2</v>
      </c>
      <c r="V108" s="162">
        <f t="shared" si="130"/>
        <v>45.748511904761905</v>
      </c>
      <c r="W108" s="163">
        <f t="shared" si="131"/>
        <v>0.32919209561602419</v>
      </c>
      <c r="X108" s="22">
        <f t="shared" si="122"/>
        <v>0.18990000000000004</v>
      </c>
      <c r="Y108" s="160">
        <f t="shared" si="123"/>
        <v>0.2414454123858448</v>
      </c>
      <c r="Z108">
        <f t="shared" si="124"/>
        <v>230.57249999999999</v>
      </c>
      <c r="AA108" s="6">
        <f t="shared" si="125"/>
        <v>1.659128161904762</v>
      </c>
      <c r="AB108" s="5" t="s">
        <v>222</v>
      </c>
      <c r="AC108" s="11">
        <v>5.04</v>
      </c>
      <c r="AD108" s="13">
        <f t="shared" si="132"/>
        <v>0.85912698412698418</v>
      </c>
    </row>
    <row r="109" spans="2:30" ht="57.6" x14ac:dyDescent="0.3">
      <c r="B109" s="247" t="s">
        <v>1209</v>
      </c>
      <c r="C109" s="159">
        <f t="shared" si="126"/>
        <v>46.558891454965355</v>
      </c>
      <c r="D109" s="159">
        <f t="shared" si="116"/>
        <v>9.2378752886836022</v>
      </c>
      <c r="E109" s="5" t="s">
        <v>1220</v>
      </c>
      <c r="F109" s="5" t="s">
        <v>1221</v>
      </c>
      <c r="G109" s="21" t="s">
        <v>45</v>
      </c>
      <c r="H109">
        <v>10</v>
      </c>
      <c r="I109">
        <v>10</v>
      </c>
      <c r="J109" t="s">
        <v>1392</v>
      </c>
      <c r="K109" s="8" t="s">
        <v>186</v>
      </c>
      <c r="L109" s="8" t="s">
        <v>187</v>
      </c>
      <c r="M109" s="8" t="s">
        <v>1466</v>
      </c>
      <c r="N109" s="11">
        <f t="shared" si="127"/>
        <v>2895.2579365079368</v>
      </c>
      <c r="O109" s="161">
        <f t="shared" si="121"/>
        <v>14592.100000000002</v>
      </c>
      <c r="P109" s="5" t="s">
        <v>25</v>
      </c>
      <c r="Q109" s="277"/>
      <c r="R109" s="5" t="s">
        <v>221</v>
      </c>
      <c r="S109" t="s">
        <v>25</v>
      </c>
      <c r="T109" s="200">
        <f t="shared" si="128"/>
        <v>3.7678571428571436E-2</v>
      </c>
      <c r="U109" s="12">
        <f t="shared" si="129"/>
        <v>4.738727027388201E-2</v>
      </c>
      <c r="V109" s="162">
        <f t="shared" si="130"/>
        <v>43.428869047619045</v>
      </c>
      <c r="W109" s="163">
        <f t="shared" si="131"/>
        <v>0.31262321806500376</v>
      </c>
      <c r="X109" s="22">
        <f t="shared" si="122"/>
        <v>0.18990000000000004</v>
      </c>
      <c r="Y109" s="160">
        <f t="shared" si="123"/>
        <v>0.23883184218036532</v>
      </c>
      <c r="Z109">
        <f t="shared" si="124"/>
        <v>218.88149999999999</v>
      </c>
      <c r="AA109" s="6">
        <f t="shared" si="125"/>
        <v>1.575621019047619</v>
      </c>
      <c r="AB109" s="5" t="s">
        <v>222</v>
      </c>
      <c r="AC109" s="11">
        <v>5.04</v>
      </c>
      <c r="AD109" s="13">
        <f t="shared" si="132"/>
        <v>0.85912698412698418</v>
      </c>
    </row>
    <row r="110" spans="2:30" ht="57.6" x14ac:dyDescent="0.3">
      <c r="B110" s="247" t="s">
        <v>1209</v>
      </c>
      <c r="C110" s="159">
        <f t="shared" si="126"/>
        <v>58.198614318706696</v>
      </c>
      <c r="D110" s="159">
        <f t="shared" si="116"/>
        <v>11.547344110854503</v>
      </c>
      <c r="E110" s="5" t="s">
        <v>1222</v>
      </c>
      <c r="F110" s="5" t="s">
        <v>1223</v>
      </c>
      <c r="G110" s="21" t="s">
        <v>45</v>
      </c>
      <c r="H110">
        <v>10</v>
      </c>
      <c r="I110">
        <v>10</v>
      </c>
      <c r="J110" t="s">
        <v>1392</v>
      </c>
      <c r="K110" s="8" t="s">
        <v>186</v>
      </c>
      <c r="L110" s="8" t="s">
        <v>187</v>
      </c>
      <c r="M110" s="8" t="s">
        <v>1466</v>
      </c>
      <c r="N110" s="11">
        <f t="shared" si="127"/>
        <v>2740.6150793650795</v>
      </c>
      <c r="O110" s="161">
        <f t="shared" si="121"/>
        <v>13812.7</v>
      </c>
      <c r="P110" s="5" t="s">
        <v>25</v>
      </c>
      <c r="Q110" s="277"/>
      <c r="R110" s="5" t="s">
        <v>221</v>
      </c>
      <c r="S110" t="s">
        <v>25</v>
      </c>
      <c r="T110" s="200">
        <f t="shared" si="128"/>
        <v>3.7678571428571436E-2</v>
      </c>
      <c r="U110" s="12">
        <f t="shared" si="129"/>
        <v>4.68687047569218E-2</v>
      </c>
      <c r="V110" s="162">
        <f t="shared" si="130"/>
        <v>41.109226190476193</v>
      </c>
      <c r="W110" s="163">
        <f t="shared" si="131"/>
        <v>0.29605434051398338</v>
      </c>
      <c r="X110" s="22">
        <f t="shared" si="122"/>
        <v>0.18990000000000004</v>
      </c>
      <c r="Y110" s="160">
        <f t="shared" si="123"/>
        <v>0.23621827197488587</v>
      </c>
      <c r="Z110">
        <f t="shared" si="124"/>
        <v>207.19050000000001</v>
      </c>
      <c r="AA110" s="6">
        <f t="shared" si="125"/>
        <v>1.4921138761904762</v>
      </c>
      <c r="AB110" s="5" t="s">
        <v>222</v>
      </c>
      <c r="AC110" s="11">
        <v>5.04</v>
      </c>
      <c r="AD110" s="13">
        <f t="shared" si="132"/>
        <v>0.85912698412698418</v>
      </c>
    </row>
    <row r="111" spans="2:30" ht="57.6" x14ac:dyDescent="0.3">
      <c r="B111" s="247" t="s">
        <v>1209</v>
      </c>
      <c r="C111" s="159">
        <f t="shared" si="126"/>
        <v>68.175519630484985</v>
      </c>
      <c r="D111" s="159">
        <f t="shared" si="116"/>
        <v>13.856812933025404</v>
      </c>
      <c r="E111" s="5" t="s">
        <v>1224</v>
      </c>
      <c r="F111" s="5" t="s">
        <v>1225</v>
      </c>
      <c r="G111" s="21" t="s">
        <v>45</v>
      </c>
      <c r="H111">
        <v>10</v>
      </c>
      <c r="I111">
        <v>10</v>
      </c>
      <c r="J111" t="s">
        <v>1392</v>
      </c>
      <c r="K111" s="8" t="s">
        <v>186</v>
      </c>
      <c r="L111" s="8" t="s">
        <v>187</v>
      </c>
      <c r="M111" s="8" t="s">
        <v>1466</v>
      </c>
      <c r="N111" s="11">
        <f t="shared" si="127"/>
        <v>2693.0487804878048</v>
      </c>
      <c r="O111" s="161">
        <f t="shared" si="121"/>
        <v>13249.8</v>
      </c>
      <c r="P111" s="5" t="s">
        <v>25</v>
      </c>
      <c r="Q111" s="277"/>
      <c r="R111" s="5" t="s">
        <v>221</v>
      </c>
      <c r="S111" t="s">
        <v>25</v>
      </c>
      <c r="T111" s="200">
        <f t="shared" si="128"/>
        <v>3.8597560975609763E-2</v>
      </c>
      <c r="U111" s="12">
        <f t="shared" si="129"/>
        <v>4.7628189734380225E-2</v>
      </c>
      <c r="V111" s="162">
        <f t="shared" si="130"/>
        <v>40.395731707317076</v>
      </c>
      <c r="W111" s="163">
        <f t="shared" si="131"/>
        <v>0.2910169028261711</v>
      </c>
      <c r="X111" s="22">
        <f t="shared" si="122"/>
        <v>0.18990000000000004</v>
      </c>
      <c r="Y111" s="160">
        <f t="shared" si="123"/>
        <v>0.23433069349315069</v>
      </c>
      <c r="Z111">
        <f t="shared" si="124"/>
        <v>198.74700000000001</v>
      </c>
      <c r="AA111" s="6">
        <f t="shared" si="125"/>
        <v>1.4318031619047618</v>
      </c>
      <c r="AB111" s="5" t="s">
        <v>222</v>
      </c>
      <c r="AC111" s="11">
        <v>4.92</v>
      </c>
      <c r="AD111" s="13">
        <f t="shared" si="132"/>
        <v>0.88008130081300817</v>
      </c>
    </row>
    <row r="112" spans="2:30" ht="57.6" x14ac:dyDescent="0.3">
      <c r="B112" s="247" t="s">
        <v>1209</v>
      </c>
      <c r="C112" s="159">
        <f t="shared" si="126"/>
        <v>94.018691588785046</v>
      </c>
      <c r="D112" s="159">
        <f t="shared" si="116"/>
        <v>18.691588785046729</v>
      </c>
      <c r="E112" s="5" t="s">
        <v>1226</v>
      </c>
      <c r="F112" s="5" t="s">
        <v>1227</v>
      </c>
      <c r="G112" s="21" t="s">
        <v>45</v>
      </c>
      <c r="H112">
        <v>10</v>
      </c>
      <c r="I112">
        <v>10</v>
      </c>
      <c r="J112" t="s">
        <v>1392</v>
      </c>
      <c r="K112" s="8" t="s">
        <v>186</v>
      </c>
      <c r="L112" s="8" t="s">
        <v>187</v>
      </c>
      <c r="M112" s="8" t="s">
        <v>1466</v>
      </c>
      <c r="N112" s="11">
        <f t="shared" si="127"/>
        <v>2442.0675944333993</v>
      </c>
      <c r="O112" s="161">
        <f t="shared" si="121"/>
        <v>12283.599999999999</v>
      </c>
      <c r="P112" s="5" t="s">
        <v>25</v>
      </c>
      <c r="Q112" s="277"/>
      <c r="R112" s="5" t="s">
        <v>221</v>
      </c>
      <c r="S112" t="s">
        <v>25</v>
      </c>
      <c r="T112" s="200">
        <f t="shared" si="128"/>
        <v>3.7753479125248506E-2</v>
      </c>
      <c r="U112" s="12">
        <f t="shared" si="129"/>
        <v>4.5942490036947267E-2</v>
      </c>
      <c r="V112" s="162">
        <f t="shared" si="130"/>
        <v>36.63101391650099</v>
      </c>
      <c r="W112" s="163">
        <f t="shared" si="131"/>
        <v>0.26404394963552019</v>
      </c>
      <c r="X112" s="22">
        <f t="shared" si="122"/>
        <v>0.18989999999999999</v>
      </c>
      <c r="Y112" s="160">
        <f t="shared" si="123"/>
        <v>0.23109072488584476</v>
      </c>
      <c r="Z112">
        <f t="shared" si="124"/>
        <v>184.25399999999999</v>
      </c>
      <c r="AA112" s="6">
        <f t="shared" si="125"/>
        <v>1.3281410666666666</v>
      </c>
      <c r="AB112" s="5" t="s">
        <v>222</v>
      </c>
      <c r="AC112" s="11">
        <v>5.03</v>
      </c>
      <c r="AD112" s="13">
        <f t="shared" si="132"/>
        <v>0.85089463220675943</v>
      </c>
    </row>
    <row r="113" spans="2:30" ht="57.6" x14ac:dyDescent="0.3">
      <c r="B113" s="247" t="s">
        <v>1209</v>
      </c>
      <c r="C113" s="159">
        <f t="shared" si="126"/>
        <v>114.02714932126698</v>
      </c>
      <c r="D113" s="159">
        <f t="shared" si="116"/>
        <v>22.624434389140273</v>
      </c>
      <c r="E113" s="5" t="s">
        <v>1228</v>
      </c>
      <c r="F113" s="5" t="s">
        <v>1229</v>
      </c>
      <c r="G113" s="21" t="s">
        <v>45</v>
      </c>
      <c r="H113">
        <v>10</v>
      </c>
      <c r="I113">
        <v>10</v>
      </c>
      <c r="J113" t="s">
        <v>1392</v>
      </c>
      <c r="K113" s="8" t="s">
        <v>186</v>
      </c>
      <c r="L113" s="8" t="s">
        <v>187</v>
      </c>
      <c r="M113" s="8" t="s">
        <v>1466</v>
      </c>
      <c r="N113" s="11">
        <f t="shared" si="127"/>
        <v>2429.2460317460318</v>
      </c>
      <c r="O113" s="161">
        <f t="shared" si="121"/>
        <v>12243.4</v>
      </c>
      <c r="P113" s="5" t="s">
        <v>25</v>
      </c>
      <c r="Q113" s="277"/>
      <c r="R113" s="5" t="s">
        <v>221</v>
      </c>
      <c r="S113" t="s">
        <v>25</v>
      </c>
      <c r="T113" s="200">
        <f t="shared" si="128"/>
        <v>3.7678571428571436E-2</v>
      </c>
      <c r="U113" s="12">
        <f t="shared" si="129"/>
        <v>4.5824587659454956E-2</v>
      </c>
      <c r="V113" s="162">
        <f t="shared" si="130"/>
        <v>36.438690476190473</v>
      </c>
      <c r="W113" s="163">
        <f t="shared" si="131"/>
        <v>0.26274360922146633</v>
      </c>
      <c r="X113" s="22">
        <f t="shared" si="122"/>
        <v>0.18990000000000004</v>
      </c>
      <c r="Y113" s="160">
        <f t="shared" si="123"/>
        <v>0.23095592180365299</v>
      </c>
      <c r="Z113">
        <f t="shared" si="124"/>
        <v>183.65099999999998</v>
      </c>
      <c r="AA113" s="6">
        <f t="shared" si="125"/>
        <v>1.3242277904761903</v>
      </c>
      <c r="AB113" s="5" t="s">
        <v>222</v>
      </c>
      <c r="AC113" s="11">
        <v>5.04</v>
      </c>
      <c r="AD113" s="13">
        <f t="shared" si="132"/>
        <v>0.87698412698412698</v>
      </c>
    </row>
    <row r="114" spans="2:30" ht="57.6" x14ac:dyDescent="0.3">
      <c r="B114" s="247" t="s">
        <v>1209</v>
      </c>
      <c r="C114" s="159">
        <f t="shared" si="126"/>
        <v>337.92325056433413</v>
      </c>
      <c r="D114" s="159">
        <f t="shared" si="116"/>
        <v>67.720090293453737</v>
      </c>
      <c r="E114" s="5" t="s">
        <v>1230</v>
      </c>
      <c r="F114" s="5" t="s">
        <v>1231</v>
      </c>
      <c r="G114" s="21" t="s">
        <v>45</v>
      </c>
      <c r="H114">
        <v>10</v>
      </c>
      <c r="I114">
        <v>10</v>
      </c>
      <c r="J114" t="s">
        <v>1392</v>
      </c>
      <c r="K114" s="8" t="s">
        <v>186</v>
      </c>
      <c r="L114" s="8" t="s">
        <v>187</v>
      </c>
      <c r="M114" s="8" t="s">
        <v>1466</v>
      </c>
      <c r="N114" s="11">
        <f t="shared" si="127"/>
        <v>1808.3987975951902</v>
      </c>
      <c r="O114" s="161">
        <f t="shared" si="121"/>
        <v>9023.91</v>
      </c>
      <c r="P114" s="5" t="s">
        <v>453</v>
      </c>
      <c r="Q114" s="277"/>
      <c r="R114" s="5" t="s">
        <v>221</v>
      </c>
      <c r="S114" t="s">
        <v>25</v>
      </c>
      <c r="T114" s="200">
        <f t="shared" si="128"/>
        <v>3.80561122244489E-2</v>
      </c>
      <c r="U114" s="12">
        <f t="shared" si="129"/>
        <v>4.4120234904740992E-2</v>
      </c>
      <c r="V114" s="162">
        <f t="shared" si="130"/>
        <v>27.125981963927853</v>
      </c>
      <c r="W114" s="163">
        <f t="shared" si="131"/>
        <v>0.1962546225784903</v>
      </c>
      <c r="X114" s="22">
        <f t="shared" si="122"/>
        <v>0.18990000000000001</v>
      </c>
      <c r="Y114" s="160">
        <f t="shared" si="123"/>
        <v>0.22015997217465755</v>
      </c>
      <c r="Z114">
        <f t="shared" si="124"/>
        <v>135.35864999999998</v>
      </c>
      <c r="AA114" s="6">
        <f t="shared" si="125"/>
        <v>0.9793105666666666</v>
      </c>
      <c r="AB114" s="5" t="s">
        <v>222</v>
      </c>
      <c r="AC114" s="11">
        <v>4.99</v>
      </c>
      <c r="AD114" s="13">
        <f t="shared" si="132"/>
        <v>0.8877755511022043</v>
      </c>
    </row>
    <row r="115" spans="2:30" ht="57.6" x14ac:dyDescent="0.3">
      <c r="B115" s="247" t="s">
        <v>1209</v>
      </c>
      <c r="C115" s="159">
        <f t="shared" si="126"/>
        <v>532.29398663697111</v>
      </c>
      <c r="D115" s="159">
        <f t="shared" si="116"/>
        <v>111.358574610245</v>
      </c>
      <c r="E115" s="5" t="s">
        <v>1232</v>
      </c>
      <c r="F115" s="5" t="s">
        <v>1233</v>
      </c>
      <c r="G115" s="21" t="s">
        <v>45</v>
      </c>
      <c r="H115">
        <v>10</v>
      </c>
      <c r="I115">
        <v>10</v>
      </c>
      <c r="J115" t="s">
        <v>1392</v>
      </c>
      <c r="K115" s="8" t="s">
        <v>186</v>
      </c>
      <c r="L115" s="8" t="s">
        <v>187</v>
      </c>
      <c r="M115" s="8" t="s">
        <v>1466</v>
      </c>
      <c r="N115" s="11">
        <f t="shared" si="127"/>
        <v>1685.1589958158995</v>
      </c>
      <c r="O115" s="161">
        <f t="shared" si="121"/>
        <v>8055.06</v>
      </c>
      <c r="P115" s="5" t="s">
        <v>453</v>
      </c>
      <c r="Q115" s="277"/>
      <c r="R115" s="5" t="s">
        <v>221</v>
      </c>
      <c r="S115" t="s">
        <v>25</v>
      </c>
      <c r="T115" s="200">
        <f t="shared" si="128"/>
        <v>3.9728033472803348E-2</v>
      </c>
      <c r="U115" s="12">
        <f t="shared" si="129"/>
        <v>4.5378894831489658E-2</v>
      </c>
      <c r="V115" s="162">
        <f t="shared" si="130"/>
        <v>25.277384937238494</v>
      </c>
      <c r="W115" s="163">
        <f t="shared" si="131"/>
        <v>0.18319539948196853</v>
      </c>
      <c r="X115" s="22">
        <f t="shared" si="122"/>
        <v>0.18990000000000001</v>
      </c>
      <c r="Y115" s="160">
        <f t="shared" si="123"/>
        <v>0.21691111729452059</v>
      </c>
      <c r="Z115">
        <f t="shared" si="124"/>
        <v>120.8259</v>
      </c>
      <c r="AA115" s="6">
        <f t="shared" si="125"/>
        <v>0.87567400952380958</v>
      </c>
      <c r="AB115" s="5" t="s">
        <v>222</v>
      </c>
      <c r="AC115" s="11">
        <v>4.78</v>
      </c>
      <c r="AD115" s="13">
        <f t="shared" si="132"/>
        <v>0.93933054393305437</v>
      </c>
    </row>
    <row r="116" spans="2:30" ht="57.6" x14ac:dyDescent="0.3">
      <c r="B116" s="248" t="s">
        <v>1209</v>
      </c>
      <c r="C116" s="176">
        <f t="shared" si="126"/>
        <v>1030.4347826086957</v>
      </c>
      <c r="D116" s="176">
        <f t="shared" si="116"/>
        <v>217.39130434782609</v>
      </c>
      <c r="E116" s="32" t="s">
        <v>1234</v>
      </c>
      <c r="F116" s="32" t="s">
        <v>1235</v>
      </c>
      <c r="G116" s="43" t="s">
        <v>45</v>
      </c>
      <c r="H116" s="35">
        <v>10</v>
      </c>
      <c r="I116" s="35">
        <v>10</v>
      </c>
      <c r="J116" s="35" t="s">
        <v>1392</v>
      </c>
      <c r="K116" s="76" t="s">
        <v>186</v>
      </c>
      <c r="L116" s="76" t="s">
        <v>187</v>
      </c>
      <c r="M116" s="76" t="s">
        <v>1466</v>
      </c>
      <c r="N116" s="60">
        <f t="shared" si="127"/>
        <v>1464.4303797468353</v>
      </c>
      <c r="O116" s="201">
        <f t="shared" si="121"/>
        <v>6941.4</v>
      </c>
      <c r="P116" s="32" t="s">
        <v>453</v>
      </c>
      <c r="Q116" s="278"/>
      <c r="R116" s="32" t="s">
        <v>221</v>
      </c>
      <c r="S116" s="35" t="s">
        <v>25</v>
      </c>
      <c r="T116" s="217">
        <f t="shared" si="128"/>
        <v>4.0063291139240509E-2</v>
      </c>
      <c r="U116" s="164">
        <f t="shared" si="129"/>
        <v>4.4973980911508005E-2</v>
      </c>
      <c r="V116" s="202">
        <f t="shared" si="130"/>
        <v>21.966455696202527</v>
      </c>
      <c r="W116" s="203">
        <f t="shared" si="131"/>
        <v>0.15963349407273456</v>
      </c>
      <c r="X116" s="44">
        <f t="shared" si="122"/>
        <v>0.18990000000000001</v>
      </c>
      <c r="Y116" s="177">
        <f t="shared" si="123"/>
        <v>0.21317666952054795</v>
      </c>
      <c r="Z116" s="35">
        <f t="shared" si="124"/>
        <v>104.12099999999998</v>
      </c>
      <c r="AA116" s="41">
        <f t="shared" si="125"/>
        <v>0.75666276190476178</v>
      </c>
      <c r="AB116" s="32" t="s">
        <v>222</v>
      </c>
      <c r="AC116" s="60">
        <v>4.74</v>
      </c>
      <c r="AD116" s="64">
        <f t="shared" si="132"/>
        <v>0.97046413502109696</v>
      </c>
    </row>
    <row r="117" spans="2:30" ht="57.6" x14ac:dyDescent="0.3">
      <c r="B117" s="107" t="s">
        <v>1210</v>
      </c>
      <c r="C117" s="3">
        <v>5</v>
      </c>
      <c r="D117" s="159">
        <f t="shared" si="116"/>
        <v>1.1547344110854503</v>
      </c>
      <c r="E117" s="5" t="s">
        <v>1080</v>
      </c>
      <c r="F117" s="5" t="s">
        <v>1081</v>
      </c>
      <c r="G117" s="21" t="s">
        <v>45</v>
      </c>
      <c r="H117">
        <v>10</v>
      </c>
      <c r="I117">
        <v>10</v>
      </c>
      <c r="J117" t="s">
        <v>1392</v>
      </c>
      <c r="K117" s="8" t="s">
        <v>186</v>
      </c>
      <c r="L117" s="8" t="s">
        <v>187</v>
      </c>
      <c r="M117" s="8" t="s">
        <v>1466</v>
      </c>
      <c r="N117" s="161">
        <v>5260</v>
      </c>
      <c r="O117" s="161">
        <f t="shared" si="121"/>
        <v>22775.8</v>
      </c>
      <c r="P117" s="5" t="s">
        <v>25</v>
      </c>
      <c r="Q117" s="276" t="s">
        <v>188</v>
      </c>
      <c r="R117" s="5" t="s">
        <v>221</v>
      </c>
      <c r="S117" t="s">
        <v>25</v>
      </c>
      <c r="T117" s="200">
        <f>0.2872/AC117</f>
        <v>6.6327944572748265E-2</v>
      </c>
      <c r="U117" s="12">
        <f>$N117*47%/(8760*37%*20)+$T117</f>
        <v>0.10446505428520045</v>
      </c>
      <c r="V117" s="162">
        <f>70</f>
        <v>70</v>
      </c>
      <c r="W117" s="163">
        <f t="shared" si="86"/>
        <v>0.50281333333333333</v>
      </c>
      <c r="X117" s="22">
        <f t="shared" si="122"/>
        <v>0.28720000000000001</v>
      </c>
      <c r="Y117" s="160">
        <f t="shared" si="123"/>
        <v>0.45233368505491794</v>
      </c>
      <c r="Z117">
        <f t="shared" si="124"/>
        <v>303.10000000000002</v>
      </c>
      <c r="AA117" s="6">
        <f t="shared" si="125"/>
        <v>2.1771817333333332</v>
      </c>
      <c r="AB117" s="5" t="s">
        <v>222</v>
      </c>
      <c r="AC117" s="11">
        <v>4.33</v>
      </c>
    </row>
    <row r="118" spans="2:30" ht="57.6" x14ac:dyDescent="0.3">
      <c r="B118" s="107" t="s">
        <v>1210</v>
      </c>
      <c r="C118" s="3">
        <v>10</v>
      </c>
      <c r="D118" s="159">
        <f t="shared" si="116"/>
        <v>2.3094688221709005</v>
      </c>
      <c r="E118" s="5" t="s">
        <v>1082</v>
      </c>
      <c r="F118" s="5" t="s">
        <v>1083</v>
      </c>
      <c r="G118" s="21" t="s">
        <v>45</v>
      </c>
      <c r="H118">
        <v>10</v>
      </c>
      <c r="I118">
        <v>10</v>
      </c>
      <c r="J118" t="s">
        <v>1392</v>
      </c>
      <c r="K118" s="8" t="s">
        <v>186</v>
      </c>
      <c r="L118" s="8" t="s">
        <v>187</v>
      </c>
      <c r="M118" s="8" t="s">
        <v>1466</v>
      </c>
      <c r="N118" s="161">
        <v>3970</v>
      </c>
      <c r="O118" s="161">
        <f t="shared" si="121"/>
        <v>17190.099999999999</v>
      </c>
      <c r="P118" s="5" t="s">
        <v>25</v>
      </c>
      <c r="Q118" s="277"/>
      <c r="R118" s="5" t="s">
        <v>221</v>
      </c>
      <c r="S118" t="s">
        <v>25</v>
      </c>
      <c r="T118" s="200">
        <f t="shared" ref="T118:T119" si="133">0.2872/AC118</f>
        <v>6.6327944572748265E-2</v>
      </c>
      <c r="U118" s="12">
        <f>$N118*47%/(8760*37%*20)+$T118</f>
        <v>9.5112036884237833E-2</v>
      </c>
      <c r="V118" s="162">
        <f t="shared" ref="V118:V128" si="134">1.5%*$N118</f>
        <v>59.55</v>
      </c>
      <c r="W118" s="163">
        <f t="shared" si="86"/>
        <v>0.42817047619047616</v>
      </c>
      <c r="X118" s="22">
        <f t="shared" si="122"/>
        <v>0.28720000000000001</v>
      </c>
      <c r="Y118" s="160">
        <f t="shared" si="123"/>
        <v>0.41183511970874981</v>
      </c>
      <c r="Z118">
        <f t="shared" si="124"/>
        <v>257.85149999999999</v>
      </c>
      <c r="AA118" s="6">
        <f t="shared" si="125"/>
        <v>1.8539781619047617</v>
      </c>
      <c r="AB118" s="5" t="s">
        <v>222</v>
      </c>
      <c r="AC118" s="11">
        <v>4.33</v>
      </c>
    </row>
    <row r="119" spans="2:30" ht="57.6" x14ac:dyDescent="0.3">
      <c r="B119" s="107" t="s">
        <v>1210</v>
      </c>
      <c r="C119" s="3">
        <v>20</v>
      </c>
      <c r="D119" s="159">
        <f t="shared" si="116"/>
        <v>4.6189376443418011</v>
      </c>
      <c r="E119" s="5" t="s">
        <v>1084</v>
      </c>
      <c r="F119" s="5" t="s">
        <v>1085</v>
      </c>
      <c r="G119" s="21" t="s">
        <v>45</v>
      </c>
      <c r="H119">
        <v>10</v>
      </c>
      <c r="I119">
        <v>10</v>
      </c>
      <c r="J119" t="s">
        <v>1392</v>
      </c>
      <c r="K119" s="8" t="s">
        <v>186</v>
      </c>
      <c r="L119" s="8" t="s">
        <v>187</v>
      </c>
      <c r="M119" s="8" t="s">
        <v>1466</v>
      </c>
      <c r="N119" s="161">
        <v>3130</v>
      </c>
      <c r="O119" s="161">
        <f t="shared" si="121"/>
        <v>13552.9</v>
      </c>
      <c r="P119" s="5" t="s">
        <v>25</v>
      </c>
      <c r="Q119" s="277"/>
      <c r="R119" s="5" t="s">
        <v>221</v>
      </c>
      <c r="S119" t="s">
        <v>25</v>
      </c>
      <c r="T119" s="200">
        <f t="shared" si="133"/>
        <v>6.6327944572748265E-2</v>
      </c>
      <c r="U119" s="12">
        <f>$N119*47%/(8760*37%*20)+$T119</f>
        <v>8.9021699971983115E-2</v>
      </c>
      <c r="V119" s="162">
        <f t="shared" si="134"/>
        <v>46.949999999999996</v>
      </c>
      <c r="W119" s="163">
        <f t="shared" si="86"/>
        <v>0.33817047619047619</v>
      </c>
      <c r="X119" s="22">
        <f t="shared" si="122"/>
        <v>0.28720000000000001</v>
      </c>
      <c r="Y119" s="160">
        <f t="shared" si="123"/>
        <v>0.3854639608786869</v>
      </c>
      <c r="Z119">
        <f t="shared" si="124"/>
        <v>203.29349999999999</v>
      </c>
      <c r="AA119" s="6">
        <f t="shared" si="125"/>
        <v>1.464278161904762</v>
      </c>
      <c r="AB119" s="5" t="s">
        <v>222</v>
      </c>
      <c r="AC119" s="11">
        <v>4.33</v>
      </c>
    </row>
    <row r="120" spans="2:30" ht="57.6" x14ac:dyDescent="0.3">
      <c r="B120" s="107" t="s">
        <v>1210</v>
      </c>
      <c r="C120" s="3">
        <v>30</v>
      </c>
      <c r="D120" s="159">
        <f t="shared" si="116"/>
        <v>6.9284064665127021</v>
      </c>
      <c r="E120" s="5" t="s">
        <v>1086</v>
      </c>
      <c r="F120" s="5" t="s">
        <v>1087</v>
      </c>
      <c r="G120" s="21" t="s">
        <v>45</v>
      </c>
      <c r="H120">
        <v>10</v>
      </c>
      <c r="I120">
        <v>10</v>
      </c>
      <c r="J120" t="s">
        <v>1392</v>
      </c>
      <c r="K120" s="8" t="s">
        <v>186</v>
      </c>
      <c r="L120" s="8" t="s">
        <v>187</v>
      </c>
      <c r="M120" s="8" t="s">
        <v>1466</v>
      </c>
      <c r="N120" s="161">
        <v>3020</v>
      </c>
      <c r="O120" s="161">
        <f t="shared" si="121"/>
        <v>13076.6</v>
      </c>
      <c r="P120" s="5" t="s">
        <v>25</v>
      </c>
      <c r="Q120" s="277"/>
      <c r="R120" s="5" t="s">
        <v>221</v>
      </c>
      <c r="S120" t="s">
        <v>25</v>
      </c>
      <c r="T120" s="200">
        <f>0.1899/AC120</f>
        <v>4.3856812933025409E-2</v>
      </c>
      <c r="U120" s="12">
        <f t="shared" ref="U120:U128" si="135">$N120*47%/(8760*80%*20)+$T120</f>
        <v>5.3983810649920388E-2</v>
      </c>
      <c r="V120" s="162">
        <f t="shared" si="134"/>
        <v>45.3</v>
      </c>
      <c r="W120" s="163">
        <f t="shared" si="86"/>
        <v>0.3263847619047619</v>
      </c>
      <c r="X120" s="22">
        <f t="shared" si="122"/>
        <v>0.18990000000000001</v>
      </c>
      <c r="Y120" s="160">
        <f t="shared" si="123"/>
        <v>0.23374990011415528</v>
      </c>
      <c r="Z120">
        <f t="shared" si="124"/>
        <v>196.149</v>
      </c>
      <c r="AA120" s="6">
        <f t="shared" si="125"/>
        <v>1.413246019047619</v>
      </c>
      <c r="AB120" s="5" t="s">
        <v>222</v>
      </c>
      <c r="AC120" s="11">
        <v>4.33</v>
      </c>
    </row>
    <row r="121" spans="2:30" ht="57.6" x14ac:dyDescent="0.3">
      <c r="B121" s="107" t="s">
        <v>1210</v>
      </c>
      <c r="C121" s="3">
        <v>40</v>
      </c>
      <c r="D121" s="159">
        <f t="shared" ref="D121:D140" si="136">$C121/$AC121</f>
        <v>9.2378752886836022</v>
      </c>
      <c r="E121" s="5" t="s">
        <v>1088</v>
      </c>
      <c r="F121" s="5" t="s">
        <v>1089</v>
      </c>
      <c r="G121" s="21" t="s">
        <v>45</v>
      </c>
      <c r="H121">
        <v>10</v>
      </c>
      <c r="I121">
        <v>10</v>
      </c>
      <c r="J121" t="s">
        <v>1392</v>
      </c>
      <c r="K121" s="8" t="s">
        <v>186</v>
      </c>
      <c r="L121" s="8" t="s">
        <v>187</v>
      </c>
      <c r="M121" s="8" t="s">
        <v>1466</v>
      </c>
      <c r="N121" s="161">
        <v>2890</v>
      </c>
      <c r="O121" s="161">
        <f t="shared" si="121"/>
        <v>12513.7</v>
      </c>
      <c r="P121" s="5" t="s">
        <v>25</v>
      </c>
      <c r="Q121" s="277"/>
      <c r="R121" s="5" t="s">
        <v>221</v>
      </c>
      <c r="S121" t="s">
        <v>25</v>
      </c>
      <c r="T121" s="200">
        <f t="shared" ref="T121:T128" si="137">0.1899/AC121</f>
        <v>4.3856812933025409E-2</v>
      </c>
      <c r="U121" s="12">
        <f t="shared" si="135"/>
        <v>5.3547880284623581E-2</v>
      </c>
      <c r="V121" s="162">
        <f t="shared" si="134"/>
        <v>43.35</v>
      </c>
      <c r="W121" s="163">
        <f t="shared" si="86"/>
        <v>0.3124561904761905</v>
      </c>
      <c r="X121" s="22">
        <f t="shared" si="122"/>
        <v>0.18990000000000001</v>
      </c>
      <c r="Y121" s="160">
        <f t="shared" si="123"/>
        <v>0.2318623216324201</v>
      </c>
      <c r="Z121">
        <f t="shared" si="124"/>
        <v>187.7055</v>
      </c>
      <c r="AA121" s="6">
        <f t="shared" si="125"/>
        <v>1.3529353047619048</v>
      </c>
      <c r="AB121" s="5" t="s">
        <v>222</v>
      </c>
      <c r="AC121" s="11">
        <v>4.33</v>
      </c>
    </row>
    <row r="122" spans="2:30" ht="57.6" x14ac:dyDescent="0.3">
      <c r="B122" s="107" t="s">
        <v>1210</v>
      </c>
      <c r="C122" s="3">
        <v>50</v>
      </c>
      <c r="D122" s="159">
        <f t="shared" si="136"/>
        <v>11.547344110854503</v>
      </c>
      <c r="E122" s="5" t="s">
        <v>1090</v>
      </c>
      <c r="F122" s="5" t="s">
        <v>1091</v>
      </c>
      <c r="G122" s="21" t="s">
        <v>45</v>
      </c>
      <c r="H122">
        <v>10</v>
      </c>
      <c r="I122">
        <v>10</v>
      </c>
      <c r="J122" t="s">
        <v>1392</v>
      </c>
      <c r="K122" s="8" t="s">
        <v>186</v>
      </c>
      <c r="L122" s="8" t="s">
        <v>187</v>
      </c>
      <c r="M122" s="8" t="s">
        <v>1466</v>
      </c>
      <c r="N122" s="161">
        <v>2760</v>
      </c>
      <c r="O122" s="161">
        <f t="shared" si="121"/>
        <v>11950.800000000001</v>
      </c>
      <c r="P122" s="5" t="s">
        <v>25</v>
      </c>
      <c r="Q122" s="277"/>
      <c r="R122" s="5" t="s">
        <v>221</v>
      </c>
      <c r="S122" t="s">
        <v>25</v>
      </c>
      <c r="T122" s="200">
        <f t="shared" si="137"/>
        <v>4.3856812933025409E-2</v>
      </c>
      <c r="U122" s="12">
        <f t="shared" si="135"/>
        <v>5.311194991932678E-2</v>
      </c>
      <c r="V122" s="162">
        <f t="shared" si="134"/>
        <v>41.4</v>
      </c>
      <c r="W122" s="163">
        <f t="shared" si="86"/>
        <v>0.29852761904761904</v>
      </c>
      <c r="X122" s="22">
        <f t="shared" si="122"/>
        <v>0.18990000000000001</v>
      </c>
      <c r="Y122" s="160">
        <f t="shared" si="123"/>
        <v>0.22997474315068497</v>
      </c>
      <c r="Z122">
        <f t="shared" si="124"/>
        <v>179.262</v>
      </c>
      <c r="AA122" s="6">
        <f t="shared" si="125"/>
        <v>1.2926245904761904</v>
      </c>
      <c r="AB122" s="5" t="s">
        <v>222</v>
      </c>
      <c r="AC122" s="11">
        <v>4.33</v>
      </c>
    </row>
    <row r="123" spans="2:30" ht="57.6" x14ac:dyDescent="0.3">
      <c r="B123" s="107" t="s">
        <v>1210</v>
      </c>
      <c r="C123" s="3">
        <v>60</v>
      </c>
      <c r="D123" s="159">
        <f t="shared" si="136"/>
        <v>13.856812933025404</v>
      </c>
      <c r="E123" s="5" t="s">
        <v>1092</v>
      </c>
      <c r="F123" s="5" t="s">
        <v>1093</v>
      </c>
      <c r="G123" s="21" t="s">
        <v>45</v>
      </c>
      <c r="H123">
        <v>10</v>
      </c>
      <c r="I123">
        <v>10</v>
      </c>
      <c r="J123" t="s">
        <v>1392</v>
      </c>
      <c r="K123" s="8" t="s">
        <v>186</v>
      </c>
      <c r="L123" s="8" t="s">
        <v>187</v>
      </c>
      <c r="M123" s="8" t="s">
        <v>1466</v>
      </c>
      <c r="N123" s="161">
        <v>2650</v>
      </c>
      <c r="O123" s="161">
        <f t="shared" si="121"/>
        <v>11474.5</v>
      </c>
      <c r="P123" s="5" t="s">
        <v>25</v>
      </c>
      <c r="Q123" s="277"/>
      <c r="R123" s="5" t="s">
        <v>221</v>
      </c>
      <c r="S123" t="s">
        <v>25</v>
      </c>
      <c r="T123" s="200">
        <f t="shared" si="137"/>
        <v>4.3856812933025409E-2</v>
      </c>
      <c r="U123" s="12">
        <f t="shared" si="135"/>
        <v>5.2743085764075638E-2</v>
      </c>
      <c r="V123" s="162">
        <f t="shared" si="134"/>
        <v>39.75</v>
      </c>
      <c r="W123" s="163">
        <f t="shared" si="86"/>
        <v>0.28674190476190475</v>
      </c>
      <c r="X123" s="22">
        <f t="shared" si="122"/>
        <v>0.18990000000000001</v>
      </c>
      <c r="Y123" s="160">
        <f t="shared" si="123"/>
        <v>0.22837756135844753</v>
      </c>
      <c r="Z123">
        <f t="shared" si="124"/>
        <v>172.11750000000001</v>
      </c>
      <c r="AA123" s="6">
        <f t="shared" si="125"/>
        <v>1.2415924476190476</v>
      </c>
      <c r="AB123" s="5" t="s">
        <v>222</v>
      </c>
      <c r="AC123" s="11">
        <v>4.33</v>
      </c>
    </row>
    <row r="124" spans="2:30" ht="57.6" x14ac:dyDescent="0.3">
      <c r="B124" s="107" t="s">
        <v>1210</v>
      </c>
      <c r="C124" s="3">
        <v>80</v>
      </c>
      <c r="D124" s="159">
        <f t="shared" si="136"/>
        <v>18.691588785046729</v>
      </c>
      <c r="E124" s="5" t="s">
        <v>1094</v>
      </c>
      <c r="F124" s="5" t="s">
        <v>1095</v>
      </c>
      <c r="G124" s="21" t="s">
        <v>45</v>
      </c>
      <c r="H124">
        <v>10</v>
      </c>
      <c r="I124">
        <v>10</v>
      </c>
      <c r="J124" t="s">
        <v>1392</v>
      </c>
      <c r="K124" s="8" t="s">
        <v>186</v>
      </c>
      <c r="L124" s="8" t="s">
        <v>187</v>
      </c>
      <c r="M124" s="8" t="s">
        <v>1466</v>
      </c>
      <c r="N124" s="161">
        <v>2510</v>
      </c>
      <c r="O124" s="161">
        <f t="shared" si="121"/>
        <v>10742.800000000001</v>
      </c>
      <c r="P124" s="5" t="s">
        <v>25</v>
      </c>
      <c r="Q124" s="277"/>
      <c r="R124" s="5" t="s">
        <v>221</v>
      </c>
      <c r="S124" t="s">
        <v>25</v>
      </c>
      <c r="T124" s="200">
        <f t="shared" si="137"/>
        <v>4.4369158878504671E-2</v>
      </c>
      <c r="U124" s="12">
        <f t="shared" si="135"/>
        <v>5.2785968239235266E-2</v>
      </c>
      <c r="V124" s="162">
        <f t="shared" si="134"/>
        <v>37.65</v>
      </c>
      <c r="W124" s="163">
        <f t="shared" si="86"/>
        <v>0.27174190476190474</v>
      </c>
      <c r="X124" s="22">
        <f t="shared" si="122"/>
        <v>0.18990000000000001</v>
      </c>
      <c r="Y124" s="160">
        <f t="shared" si="123"/>
        <v>0.22592394406392696</v>
      </c>
      <c r="Z124">
        <f t="shared" si="124"/>
        <v>161.142</v>
      </c>
      <c r="AA124" s="6">
        <f t="shared" si="125"/>
        <v>1.1630553523809524</v>
      </c>
      <c r="AB124" s="5" t="s">
        <v>222</v>
      </c>
      <c r="AC124" s="11">
        <v>4.28</v>
      </c>
    </row>
    <row r="125" spans="2:30" ht="57.6" x14ac:dyDescent="0.3">
      <c r="B125" s="107" t="s">
        <v>1210</v>
      </c>
      <c r="C125" s="3">
        <v>100</v>
      </c>
      <c r="D125" s="159">
        <f t="shared" si="136"/>
        <v>22.624434389140273</v>
      </c>
      <c r="E125" s="5" t="s">
        <v>1096</v>
      </c>
      <c r="F125" s="5" t="s">
        <v>1097</v>
      </c>
      <c r="G125" s="21" t="s">
        <v>45</v>
      </c>
      <c r="H125">
        <v>10</v>
      </c>
      <c r="I125">
        <v>10</v>
      </c>
      <c r="J125" t="s">
        <v>1392</v>
      </c>
      <c r="K125" s="8" t="s">
        <v>186</v>
      </c>
      <c r="L125" s="8" t="s">
        <v>187</v>
      </c>
      <c r="M125" s="8" t="s">
        <v>1466</v>
      </c>
      <c r="N125" s="161">
        <v>2450</v>
      </c>
      <c r="O125" s="161">
        <f t="shared" si="121"/>
        <v>10829</v>
      </c>
      <c r="P125" s="5" t="s">
        <v>25</v>
      </c>
      <c r="Q125" s="277"/>
      <c r="R125" s="5" t="s">
        <v>221</v>
      </c>
      <c r="S125" t="s">
        <v>25</v>
      </c>
      <c r="T125" s="200">
        <f t="shared" si="137"/>
        <v>4.2963800904977381E-2</v>
      </c>
      <c r="U125" s="12">
        <f t="shared" si="135"/>
        <v>5.1179411635570993E-2</v>
      </c>
      <c r="V125" s="162">
        <f t="shared" si="134"/>
        <v>36.75</v>
      </c>
      <c r="W125" s="163">
        <f t="shared" si="86"/>
        <v>0.26531333333333335</v>
      </c>
      <c r="X125" s="22">
        <f t="shared" si="122"/>
        <v>0.18990000000000001</v>
      </c>
      <c r="Y125" s="160">
        <f t="shared" si="123"/>
        <v>0.22621299942922379</v>
      </c>
      <c r="Z125">
        <f t="shared" si="124"/>
        <v>162.435</v>
      </c>
      <c r="AA125" s="6">
        <f t="shared" si="125"/>
        <v>1.1726849333333333</v>
      </c>
      <c r="AB125" s="5" t="s">
        <v>222</v>
      </c>
      <c r="AC125" s="11">
        <v>4.42</v>
      </c>
    </row>
    <row r="126" spans="2:30" ht="57.6" x14ac:dyDescent="0.3">
      <c r="B126" s="107" t="s">
        <v>1210</v>
      </c>
      <c r="C126" s="3">
        <v>300</v>
      </c>
      <c r="D126" s="159">
        <f t="shared" si="136"/>
        <v>67.720090293453723</v>
      </c>
      <c r="E126" s="5" t="s">
        <v>1098</v>
      </c>
      <c r="F126" s="5" t="s">
        <v>1099</v>
      </c>
      <c r="G126" s="21" t="s">
        <v>45</v>
      </c>
      <c r="H126">
        <v>10</v>
      </c>
      <c r="I126">
        <v>10</v>
      </c>
      <c r="J126" t="s">
        <v>1392</v>
      </c>
      <c r="K126" s="8" t="s">
        <v>186</v>
      </c>
      <c r="L126" s="8" t="s">
        <v>187</v>
      </c>
      <c r="M126" s="8" t="s">
        <v>1466</v>
      </c>
      <c r="N126" s="161">
        <v>1777</v>
      </c>
      <c r="O126" s="161">
        <f t="shared" si="121"/>
        <v>7872.11</v>
      </c>
      <c r="P126" s="5" t="s">
        <v>453</v>
      </c>
      <c r="Q126" s="277"/>
      <c r="R126" s="5" t="s">
        <v>221</v>
      </c>
      <c r="S126" t="s">
        <v>25</v>
      </c>
      <c r="T126" s="200">
        <f t="shared" si="137"/>
        <v>4.2866817155756215E-2</v>
      </c>
      <c r="U126" s="12">
        <f t="shared" si="135"/>
        <v>4.8825649918313292E-2</v>
      </c>
      <c r="V126" s="162">
        <f t="shared" si="134"/>
        <v>26.654999999999998</v>
      </c>
      <c r="W126" s="163">
        <f t="shared" si="86"/>
        <v>0.19320619047619045</v>
      </c>
      <c r="X126" s="22">
        <f t="shared" si="122"/>
        <v>0.18990000000000001</v>
      </c>
      <c r="Y126" s="160">
        <f t="shared" si="123"/>
        <v>0.21629762913812786</v>
      </c>
      <c r="Z126">
        <f t="shared" si="124"/>
        <v>118.08164999999998</v>
      </c>
      <c r="AA126" s="6">
        <f t="shared" si="125"/>
        <v>0.85590342380952367</v>
      </c>
      <c r="AB126" s="5" t="s">
        <v>222</v>
      </c>
      <c r="AC126" s="11">
        <v>4.43</v>
      </c>
    </row>
    <row r="127" spans="2:30" ht="57.6" x14ac:dyDescent="0.3">
      <c r="B127" s="107" t="s">
        <v>1210</v>
      </c>
      <c r="C127" s="3">
        <v>500</v>
      </c>
      <c r="D127" s="159">
        <f t="shared" si="136"/>
        <v>111.35857461024499</v>
      </c>
      <c r="E127" s="5" t="s">
        <v>1100</v>
      </c>
      <c r="F127" s="5" t="s">
        <v>1101</v>
      </c>
      <c r="G127" s="21" t="s">
        <v>45</v>
      </c>
      <c r="H127">
        <v>10</v>
      </c>
      <c r="I127">
        <v>10</v>
      </c>
      <c r="J127" t="s">
        <v>1392</v>
      </c>
      <c r="K127" s="8" t="s">
        <v>186</v>
      </c>
      <c r="L127" s="8" t="s">
        <v>187</v>
      </c>
      <c r="M127" s="8" t="s">
        <v>1466</v>
      </c>
      <c r="N127" s="161">
        <v>1569</v>
      </c>
      <c r="O127" s="161">
        <f t="shared" si="121"/>
        <v>7044.81</v>
      </c>
      <c r="P127" s="5" t="s">
        <v>453</v>
      </c>
      <c r="Q127" s="277"/>
      <c r="R127" s="5" t="s">
        <v>221</v>
      </c>
      <c r="S127" t="s">
        <v>25</v>
      </c>
      <c r="T127" s="200">
        <f t="shared" si="137"/>
        <v>4.2293986636971051E-2</v>
      </c>
      <c r="U127" s="12">
        <f t="shared" si="135"/>
        <v>4.755533081505324E-2</v>
      </c>
      <c r="V127" s="162">
        <f t="shared" si="134"/>
        <v>23.535</v>
      </c>
      <c r="W127" s="163">
        <f t="shared" si="86"/>
        <v>0.17092047619047621</v>
      </c>
      <c r="X127" s="22">
        <f t="shared" si="122"/>
        <v>0.18990000000000004</v>
      </c>
      <c r="Y127" s="160">
        <f t="shared" si="123"/>
        <v>0.21352343535958906</v>
      </c>
      <c r="Z127">
        <f t="shared" si="124"/>
        <v>105.67215</v>
      </c>
      <c r="AA127" s="6">
        <f t="shared" si="125"/>
        <v>0.76743293809523816</v>
      </c>
      <c r="AB127" s="5" t="s">
        <v>222</v>
      </c>
      <c r="AC127" s="11">
        <v>4.49</v>
      </c>
    </row>
    <row r="128" spans="2:30" ht="57.6" x14ac:dyDescent="0.3">
      <c r="B128" s="108" t="s">
        <v>1210</v>
      </c>
      <c r="C128" s="30">
        <v>1000</v>
      </c>
      <c r="D128" s="176">
        <f t="shared" si="136"/>
        <v>217.39130434782609</v>
      </c>
      <c r="E128" s="32" t="s">
        <v>1102</v>
      </c>
      <c r="F128" s="32" t="s">
        <v>1103</v>
      </c>
      <c r="G128" s="43" t="s">
        <v>45</v>
      </c>
      <c r="H128" s="35">
        <v>10</v>
      </c>
      <c r="I128" s="35">
        <v>10</v>
      </c>
      <c r="J128" s="35" t="s">
        <v>1392</v>
      </c>
      <c r="K128" s="76" t="s">
        <v>186</v>
      </c>
      <c r="L128" s="76" t="s">
        <v>187</v>
      </c>
      <c r="M128" s="76" t="s">
        <v>1466</v>
      </c>
      <c r="N128" s="201">
        <v>1325</v>
      </c>
      <c r="O128" s="201">
        <f t="shared" si="121"/>
        <v>6094.9999999999991</v>
      </c>
      <c r="P128" s="32" t="s">
        <v>453</v>
      </c>
      <c r="Q128" s="278"/>
      <c r="R128" s="32" t="s">
        <v>221</v>
      </c>
      <c r="S128" s="35" t="s">
        <v>25</v>
      </c>
      <c r="T128" s="217">
        <f t="shared" si="137"/>
        <v>4.128260869565218E-2</v>
      </c>
      <c r="U128" s="164">
        <f t="shared" si="135"/>
        <v>4.5725745111177295E-2</v>
      </c>
      <c r="V128" s="202">
        <f t="shared" si="134"/>
        <v>19.875</v>
      </c>
      <c r="W128" s="203">
        <f t="shared" si="86"/>
        <v>0.14477761904761904</v>
      </c>
      <c r="X128" s="44">
        <f t="shared" si="122"/>
        <v>0.18990000000000001</v>
      </c>
      <c r="Y128" s="177">
        <f t="shared" si="123"/>
        <v>0.21033842751141554</v>
      </c>
      <c r="Z128" s="35">
        <f t="shared" si="124"/>
        <v>91.424999999999997</v>
      </c>
      <c r="AA128" s="41">
        <f t="shared" si="125"/>
        <v>0.66597704761904752</v>
      </c>
      <c r="AB128" s="32" t="s">
        <v>222</v>
      </c>
      <c r="AC128" s="60">
        <v>4.5999999999999996</v>
      </c>
      <c r="AD128" s="35"/>
    </row>
    <row r="129" spans="2:30" ht="57.6" x14ac:dyDescent="0.3">
      <c r="B129" s="247" t="s">
        <v>1211</v>
      </c>
      <c r="C129" s="159">
        <f t="shared" ref="C129:C140" si="138">C117/AD129</f>
        <v>5.8198614318706694</v>
      </c>
      <c r="D129" s="159">
        <f t="shared" si="136"/>
        <v>1.1547344110854503</v>
      </c>
      <c r="E129" s="5" t="s">
        <v>1212</v>
      </c>
      <c r="F129" s="5" t="s">
        <v>1213</v>
      </c>
      <c r="G129" s="21" t="s">
        <v>45</v>
      </c>
      <c r="H129">
        <v>10</v>
      </c>
      <c r="I129">
        <v>10</v>
      </c>
      <c r="J129" t="s">
        <v>1392</v>
      </c>
      <c r="K129" s="8" t="s">
        <v>186</v>
      </c>
      <c r="L129" s="8" t="s">
        <v>187</v>
      </c>
      <c r="M129" s="8" t="s">
        <v>1466</v>
      </c>
      <c r="N129" s="161">
        <f>N117*AD129</f>
        <v>4519.0079365079364</v>
      </c>
      <c r="O129" s="161">
        <f t="shared" si="121"/>
        <v>22775.8</v>
      </c>
      <c r="P129" s="5" t="s">
        <v>25</v>
      </c>
      <c r="Q129" s="276" t="s">
        <v>188</v>
      </c>
      <c r="R129" s="5" t="s">
        <v>221</v>
      </c>
      <c r="S129" t="s">
        <v>25</v>
      </c>
      <c r="T129" s="200">
        <f>T117*AD129</f>
        <v>5.6984126984126984E-2</v>
      </c>
      <c r="U129" s="12">
        <f>U117*AD129</f>
        <v>8.974874703470595E-2</v>
      </c>
      <c r="V129" s="162">
        <f>V117*AD129</f>
        <v>60.138888888888893</v>
      </c>
      <c r="W129" s="163">
        <f>W117*AD129</f>
        <v>0.4319805026455027</v>
      </c>
      <c r="X129" s="22">
        <f t="shared" si="122"/>
        <v>0.28720000000000001</v>
      </c>
      <c r="Y129" s="160">
        <f t="shared" si="123"/>
        <v>0.452333685054918</v>
      </c>
      <c r="Z129">
        <f t="shared" si="124"/>
        <v>303.10000000000002</v>
      </c>
      <c r="AA129" s="6">
        <f t="shared" si="125"/>
        <v>2.1771817333333336</v>
      </c>
      <c r="AB129" s="5" t="s">
        <v>222</v>
      </c>
      <c r="AC129" s="11">
        <v>5.04</v>
      </c>
      <c r="AD129" s="13">
        <f>AC117/AC129</f>
        <v>0.85912698412698418</v>
      </c>
    </row>
    <row r="130" spans="2:30" ht="57.6" x14ac:dyDescent="0.3">
      <c r="B130" s="247" t="s">
        <v>1211</v>
      </c>
      <c r="C130" s="159">
        <f t="shared" si="138"/>
        <v>11.639722863741339</v>
      </c>
      <c r="D130" s="159">
        <f t="shared" si="136"/>
        <v>2.3094688221709005</v>
      </c>
      <c r="E130" s="5" t="s">
        <v>1214</v>
      </c>
      <c r="F130" s="5" t="s">
        <v>1215</v>
      </c>
      <c r="G130" s="21" t="s">
        <v>45</v>
      </c>
      <c r="H130">
        <v>10</v>
      </c>
      <c r="I130">
        <v>10</v>
      </c>
      <c r="J130" t="s">
        <v>1392</v>
      </c>
      <c r="K130" s="8" t="s">
        <v>186</v>
      </c>
      <c r="L130" s="8" t="s">
        <v>187</v>
      </c>
      <c r="M130" s="8" t="s">
        <v>1466</v>
      </c>
      <c r="N130" s="161">
        <f t="shared" ref="N130:N140" si="139">N118*AD130</f>
        <v>3410.7341269841272</v>
      </c>
      <c r="O130" s="161">
        <f t="shared" si="121"/>
        <v>17190.100000000002</v>
      </c>
      <c r="P130" s="5" t="s">
        <v>25</v>
      </c>
      <c r="Q130" s="277"/>
      <c r="R130" s="5" t="s">
        <v>221</v>
      </c>
      <c r="S130" t="s">
        <v>25</v>
      </c>
      <c r="T130" s="200">
        <f t="shared" ref="T130:T140" si="140">T118*AD130</f>
        <v>5.6984126984126984E-2</v>
      </c>
      <c r="U130" s="12">
        <f t="shared" ref="U130:U140" si="141">U118*AD130</f>
        <v>8.1713317402529725E-2</v>
      </c>
      <c r="V130" s="162">
        <f t="shared" ref="V130:V140" si="142">V118*AD130</f>
        <v>51.161011904761907</v>
      </c>
      <c r="W130" s="163">
        <f t="shared" ref="W130:W140" si="143">W118*AD130</f>
        <v>0.36785280990173846</v>
      </c>
      <c r="X130" s="22">
        <f t="shared" si="122"/>
        <v>0.28720000000000001</v>
      </c>
      <c r="Y130" s="160">
        <f t="shared" si="123"/>
        <v>0.41183511970874981</v>
      </c>
      <c r="Z130">
        <f t="shared" si="124"/>
        <v>257.85149999999999</v>
      </c>
      <c r="AA130" s="6">
        <f t="shared" si="125"/>
        <v>1.8539781619047619</v>
      </c>
      <c r="AB130" s="5" t="s">
        <v>222</v>
      </c>
      <c r="AC130" s="11">
        <v>5.04</v>
      </c>
      <c r="AD130" s="13">
        <f t="shared" ref="AD130:AD140" si="144">AC118/AC130</f>
        <v>0.85912698412698418</v>
      </c>
    </row>
    <row r="131" spans="2:30" ht="57.6" x14ac:dyDescent="0.3">
      <c r="B131" s="247" t="s">
        <v>1211</v>
      </c>
      <c r="C131" s="159">
        <f t="shared" si="138"/>
        <v>23.279445727482678</v>
      </c>
      <c r="D131" s="159">
        <f t="shared" si="136"/>
        <v>4.6189376443418011</v>
      </c>
      <c r="E131" s="5" t="s">
        <v>1216</v>
      </c>
      <c r="F131" s="5" t="s">
        <v>1217</v>
      </c>
      <c r="G131" s="21" t="s">
        <v>45</v>
      </c>
      <c r="H131">
        <v>10</v>
      </c>
      <c r="I131">
        <v>10</v>
      </c>
      <c r="J131" t="s">
        <v>1392</v>
      </c>
      <c r="K131" s="8" t="s">
        <v>186</v>
      </c>
      <c r="L131" s="8" t="s">
        <v>187</v>
      </c>
      <c r="M131" s="8" t="s">
        <v>1466</v>
      </c>
      <c r="N131" s="161">
        <f t="shared" si="139"/>
        <v>2689.0674603174607</v>
      </c>
      <c r="O131" s="161">
        <f t="shared" si="121"/>
        <v>13552.900000000001</v>
      </c>
      <c r="P131" s="5" t="s">
        <v>25</v>
      </c>
      <c r="Q131" s="277"/>
      <c r="R131" s="5" t="s">
        <v>221</v>
      </c>
      <c r="S131" t="s">
        <v>25</v>
      </c>
      <c r="T131" s="200">
        <f t="shared" si="140"/>
        <v>5.6984126984126984E-2</v>
      </c>
      <c r="U131" s="12">
        <f t="shared" si="141"/>
        <v>7.6480944618787086E-2</v>
      </c>
      <c r="V131" s="162">
        <f t="shared" si="142"/>
        <v>40.336011904761904</v>
      </c>
      <c r="W131" s="163">
        <f t="shared" si="143"/>
        <v>0.29053138133030992</v>
      </c>
      <c r="X131" s="22">
        <f t="shared" si="122"/>
        <v>0.28720000000000001</v>
      </c>
      <c r="Y131" s="160">
        <f t="shared" si="123"/>
        <v>0.3854639608786869</v>
      </c>
      <c r="Z131">
        <f t="shared" si="124"/>
        <v>203.29349999999999</v>
      </c>
      <c r="AA131" s="6">
        <f t="shared" si="125"/>
        <v>1.464278161904762</v>
      </c>
      <c r="AB131" s="5" t="s">
        <v>222</v>
      </c>
      <c r="AC131" s="11">
        <v>5.04</v>
      </c>
      <c r="AD131" s="13">
        <f t="shared" si="144"/>
        <v>0.85912698412698418</v>
      </c>
    </row>
    <row r="132" spans="2:30" ht="57.6" x14ac:dyDescent="0.3">
      <c r="B132" s="247" t="s">
        <v>1211</v>
      </c>
      <c r="C132" s="159">
        <f t="shared" si="138"/>
        <v>34.919168591224015</v>
      </c>
      <c r="D132" s="159">
        <f t="shared" si="136"/>
        <v>6.9284064665127012</v>
      </c>
      <c r="E132" s="5" t="s">
        <v>1218</v>
      </c>
      <c r="F132" s="5" t="s">
        <v>1219</v>
      </c>
      <c r="G132" s="21" t="s">
        <v>45</v>
      </c>
      <c r="H132">
        <v>10</v>
      </c>
      <c r="I132">
        <v>10</v>
      </c>
      <c r="J132" t="s">
        <v>1392</v>
      </c>
      <c r="K132" s="8" t="s">
        <v>186</v>
      </c>
      <c r="L132" s="8" t="s">
        <v>187</v>
      </c>
      <c r="M132" s="8" t="s">
        <v>1466</v>
      </c>
      <c r="N132" s="161">
        <f t="shared" si="139"/>
        <v>2594.563492063492</v>
      </c>
      <c r="O132" s="161">
        <f t="shared" si="121"/>
        <v>13076.6</v>
      </c>
      <c r="P132" s="5" t="s">
        <v>25</v>
      </c>
      <c r="Q132" s="277"/>
      <c r="R132" s="5" t="s">
        <v>221</v>
      </c>
      <c r="S132" t="s">
        <v>25</v>
      </c>
      <c r="T132" s="200">
        <f t="shared" si="140"/>
        <v>3.7678571428571436E-2</v>
      </c>
      <c r="U132" s="12">
        <f t="shared" si="141"/>
        <v>4.6378948435348274E-2</v>
      </c>
      <c r="V132" s="162">
        <f t="shared" si="142"/>
        <v>38.918452380952381</v>
      </c>
      <c r="W132" s="163">
        <f t="shared" si="143"/>
        <v>0.28040595616024189</v>
      </c>
      <c r="X132" s="22">
        <f t="shared" si="122"/>
        <v>0.18990000000000004</v>
      </c>
      <c r="Y132" s="160">
        <f t="shared" si="123"/>
        <v>0.23374990011415531</v>
      </c>
      <c r="Z132">
        <f t="shared" si="124"/>
        <v>196.149</v>
      </c>
      <c r="AA132" s="6">
        <f t="shared" si="125"/>
        <v>1.413246019047619</v>
      </c>
      <c r="AB132" s="5" t="s">
        <v>222</v>
      </c>
      <c r="AC132" s="11">
        <v>5.04</v>
      </c>
      <c r="AD132" s="13">
        <f t="shared" si="144"/>
        <v>0.85912698412698418</v>
      </c>
    </row>
    <row r="133" spans="2:30" ht="57.6" x14ac:dyDescent="0.3">
      <c r="B133" s="247" t="s">
        <v>1211</v>
      </c>
      <c r="C133" s="159">
        <f t="shared" si="138"/>
        <v>46.558891454965355</v>
      </c>
      <c r="D133" s="159">
        <f t="shared" si="136"/>
        <v>9.2378752886836022</v>
      </c>
      <c r="E133" s="5" t="s">
        <v>1220</v>
      </c>
      <c r="F133" s="5" t="s">
        <v>1221</v>
      </c>
      <c r="G133" s="21" t="s">
        <v>45</v>
      </c>
      <c r="H133">
        <v>10</v>
      </c>
      <c r="I133">
        <v>10</v>
      </c>
      <c r="J133" t="s">
        <v>1392</v>
      </c>
      <c r="K133" s="8" t="s">
        <v>186</v>
      </c>
      <c r="L133" s="8" t="s">
        <v>187</v>
      </c>
      <c r="M133" s="8" t="s">
        <v>1466</v>
      </c>
      <c r="N133" s="161">
        <f t="shared" si="139"/>
        <v>2482.8769841269841</v>
      </c>
      <c r="O133" s="161">
        <f t="shared" ref="O133:O140" si="145">$N133*AC133</f>
        <v>12513.7</v>
      </c>
      <c r="P133" s="5" t="s">
        <v>25</v>
      </c>
      <c r="Q133" s="277"/>
      <c r="R133" s="5" t="s">
        <v>221</v>
      </c>
      <c r="S133" t="s">
        <v>25</v>
      </c>
      <c r="T133" s="200">
        <f t="shared" si="140"/>
        <v>3.7678571428571436E-2</v>
      </c>
      <c r="U133" s="12">
        <f t="shared" si="141"/>
        <v>4.6004428895321449E-2</v>
      </c>
      <c r="V133" s="162">
        <f t="shared" si="142"/>
        <v>37.243154761904762</v>
      </c>
      <c r="W133" s="163">
        <f t="shared" si="143"/>
        <v>0.26843954459561609</v>
      </c>
      <c r="X133" s="22">
        <f t="shared" ref="X133:X164" si="146">T133*AC133</f>
        <v>0.18990000000000004</v>
      </c>
      <c r="Y133" s="160">
        <f t="shared" ref="Y133:Y164" si="147">U133*AC133</f>
        <v>0.2318623216324201</v>
      </c>
      <c r="Z133">
        <f t="shared" ref="Z133:Z164" si="148">V133*AC133</f>
        <v>187.7055</v>
      </c>
      <c r="AA133" s="6">
        <f t="shared" ref="AA133:AA164" si="149">W133*AC133</f>
        <v>1.352935304761905</v>
      </c>
      <c r="AB133" s="5" t="s">
        <v>222</v>
      </c>
      <c r="AC133" s="11">
        <v>5.04</v>
      </c>
      <c r="AD133" s="13">
        <f t="shared" si="144"/>
        <v>0.85912698412698418</v>
      </c>
    </row>
    <row r="134" spans="2:30" ht="57.6" x14ac:dyDescent="0.3">
      <c r="B134" s="247" t="s">
        <v>1211</v>
      </c>
      <c r="C134" s="159">
        <f t="shared" si="138"/>
        <v>58.198614318706696</v>
      </c>
      <c r="D134" s="159">
        <f t="shared" si="136"/>
        <v>11.547344110854503</v>
      </c>
      <c r="E134" s="5" t="s">
        <v>1222</v>
      </c>
      <c r="F134" s="5" t="s">
        <v>1223</v>
      </c>
      <c r="G134" s="21" t="s">
        <v>45</v>
      </c>
      <c r="H134">
        <v>10</v>
      </c>
      <c r="I134">
        <v>10</v>
      </c>
      <c r="J134" t="s">
        <v>1392</v>
      </c>
      <c r="K134" s="8" t="s">
        <v>186</v>
      </c>
      <c r="L134" s="8" t="s">
        <v>187</v>
      </c>
      <c r="M134" s="8" t="s">
        <v>1466</v>
      </c>
      <c r="N134" s="161">
        <f t="shared" si="139"/>
        <v>2371.1904761904761</v>
      </c>
      <c r="O134" s="161">
        <f t="shared" si="145"/>
        <v>11950.8</v>
      </c>
      <c r="P134" s="5" t="s">
        <v>25</v>
      </c>
      <c r="Q134" s="277"/>
      <c r="R134" s="5" t="s">
        <v>221</v>
      </c>
      <c r="S134" t="s">
        <v>25</v>
      </c>
      <c r="T134" s="200">
        <f t="shared" si="140"/>
        <v>3.7678571428571436E-2</v>
      </c>
      <c r="U134" s="12">
        <f t="shared" si="141"/>
        <v>4.5629909355294637E-2</v>
      </c>
      <c r="V134" s="162">
        <f t="shared" si="142"/>
        <v>35.567857142857143</v>
      </c>
      <c r="W134" s="163">
        <f t="shared" si="143"/>
        <v>0.25647313303099017</v>
      </c>
      <c r="X134" s="22">
        <f t="shared" si="146"/>
        <v>0.18990000000000004</v>
      </c>
      <c r="Y134" s="160">
        <f t="shared" si="147"/>
        <v>0.22997474315068497</v>
      </c>
      <c r="Z134">
        <f t="shared" si="148"/>
        <v>179.262</v>
      </c>
      <c r="AA134" s="6">
        <f t="shared" si="149"/>
        <v>1.2926245904761904</v>
      </c>
      <c r="AB134" s="5" t="s">
        <v>222</v>
      </c>
      <c r="AC134" s="11">
        <v>5.04</v>
      </c>
      <c r="AD134" s="13">
        <f t="shared" si="144"/>
        <v>0.85912698412698418</v>
      </c>
    </row>
    <row r="135" spans="2:30" ht="57.6" x14ac:dyDescent="0.3">
      <c r="B135" s="247" t="s">
        <v>1211</v>
      </c>
      <c r="C135" s="159">
        <f t="shared" si="138"/>
        <v>68.175519630484985</v>
      </c>
      <c r="D135" s="159">
        <f t="shared" si="136"/>
        <v>13.856812933025404</v>
      </c>
      <c r="E135" s="5" t="s">
        <v>1224</v>
      </c>
      <c r="F135" s="5" t="s">
        <v>1225</v>
      </c>
      <c r="G135" s="21" t="s">
        <v>45</v>
      </c>
      <c r="H135">
        <v>10</v>
      </c>
      <c r="I135">
        <v>10</v>
      </c>
      <c r="J135" t="s">
        <v>1392</v>
      </c>
      <c r="K135" s="8" t="s">
        <v>186</v>
      </c>
      <c r="L135" s="8" t="s">
        <v>187</v>
      </c>
      <c r="M135" s="8" t="s">
        <v>1466</v>
      </c>
      <c r="N135" s="161">
        <f t="shared" si="139"/>
        <v>2332.2154471544718</v>
      </c>
      <c r="O135" s="161">
        <f t="shared" si="145"/>
        <v>11474.500000000002</v>
      </c>
      <c r="P135" s="5" t="s">
        <v>25</v>
      </c>
      <c r="Q135" s="277"/>
      <c r="R135" s="5" t="s">
        <v>221</v>
      </c>
      <c r="S135" t="s">
        <v>25</v>
      </c>
      <c r="T135" s="200">
        <f t="shared" si="140"/>
        <v>3.8597560975609763E-2</v>
      </c>
      <c r="U135" s="12">
        <f t="shared" si="141"/>
        <v>4.6418203528139738E-2</v>
      </c>
      <c r="V135" s="162">
        <f t="shared" si="142"/>
        <v>34.983231707317074</v>
      </c>
      <c r="W135" s="163">
        <f t="shared" si="143"/>
        <v>0.25235618854045683</v>
      </c>
      <c r="X135" s="22">
        <f t="shared" si="146"/>
        <v>0.18990000000000004</v>
      </c>
      <c r="Y135" s="160">
        <f t="shared" si="147"/>
        <v>0.2283775613584475</v>
      </c>
      <c r="Z135">
        <f t="shared" si="148"/>
        <v>172.11750000000001</v>
      </c>
      <c r="AA135" s="6">
        <f t="shared" si="149"/>
        <v>1.2415924476190476</v>
      </c>
      <c r="AB135" s="5" t="s">
        <v>222</v>
      </c>
      <c r="AC135" s="11">
        <v>4.92</v>
      </c>
      <c r="AD135" s="13">
        <f t="shared" si="144"/>
        <v>0.88008130081300817</v>
      </c>
    </row>
    <row r="136" spans="2:30" ht="57.6" x14ac:dyDescent="0.3">
      <c r="B136" s="247" t="s">
        <v>1211</v>
      </c>
      <c r="C136" s="159">
        <f t="shared" si="138"/>
        <v>94.018691588785046</v>
      </c>
      <c r="D136" s="159">
        <f t="shared" si="136"/>
        <v>18.691588785046729</v>
      </c>
      <c r="E136" s="5" t="s">
        <v>1226</v>
      </c>
      <c r="F136" s="5" t="s">
        <v>1227</v>
      </c>
      <c r="G136" s="21" t="s">
        <v>45</v>
      </c>
      <c r="H136">
        <v>10</v>
      </c>
      <c r="I136">
        <v>10</v>
      </c>
      <c r="J136" t="s">
        <v>1392</v>
      </c>
      <c r="K136" s="8" t="s">
        <v>186</v>
      </c>
      <c r="L136" s="8" t="s">
        <v>187</v>
      </c>
      <c r="M136" s="8" t="s">
        <v>1466</v>
      </c>
      <c r="N136" s="161">
        <f t="shared" si="139"/>
        <v>2135.7455268389663</v>
      </c>
      <c r="O136" s="161">
        <f t="shared" si="145"/>
        <v>10742.800000000001</v>
      </c>
      <c r="P136" s="5" t="s">
        <v>25</v>
      </c>
      <c r="Q136" s="277"/>
      <c r="R136" s="5" t="s">
        <v>221</v>
      </c>
      <c r="S136" t="s">
        <v>25</v>
      </c>
      <c r="T136" s="200">
        <f t="shared" si="140"/>
        <v>3.7753479125248506E-2</v>
      </c>
      <c r="U136" s="12">
        <f t="shared" si="141"/>
        <v>4.4915297030601778E-2</v>
      </c>
      <c r="V136" s="162">
        <f t="shared" si="142"/>
        <v>32.036182902584493</v>
      </c>
      <c r="W136" s="163">
        <f t="shared" si="143"/>
        <v>0.23122372810754518</v>
      </c>
      <c r="X136" s="22">
        <f t="shared" si="146"/>
        <v>0.18989999999999999</v>
      </c>
      <c r="Y136" s="160">
        <f t="shared" si="147"/>
        <v>0.22592394406392696</v>
      </c>
      <c r="Z136">
        <f t="shared" si="148"/>
        <v>161.142</v>
      </c>
      <c r="AA136" s="6">
        <f t="shared" si="149"/>
        <v>1.1630553523809524</v>
      </c>
      <c r="AB136" s="5" t="s">
        <v>222</v>
      </c>
      <c r="AC136" s="11">
        <v>5.03</v>
      </c>
      <c r="AD136" s="13">
        <f t="shared" si="144"/>
        <v>0.85089463220675943</v>
      </c>
    </row>
    <row r="137" spans="2:30" ht="57.6" x14ac:dyDescent="0.3">
      <c r="B137" s="247" t="s">
        <v>1211</v>
      </c>
      <c r="C137" s="159">
        <f t="shared" si="138"/>
        <v>114.02714932126698</v>
      </c>
      <c r="D137" s="159">
        <f t="shared" si="136"/>
        <v>22.624434389140273</v>
      </c>
      <c r="E137" s="5" t="s">
        <v>1228</v>
      </c>
      <c r="F137" s="5" t="s">
        <v>1229</v>
      </c>
      <c r="G137" s="21" t="s">
        <v>45</v>
      </c>
      <c r="H137">
        <v>10</v>
      </c>
      <c r="I137">
        <v>10</v>
      </c>
      <c r="J137" t="s">
        <v>1392</v>
      </c>
      <c r="K137" s="8" t="s">
        <v>186</v>
      </c>
      <c r="L137" s="8" t="s">
        <v>187</v>
      </c>
      <c r="M137" s="8" t="s">
        <v>1466</v>
      </c>
      <c r="N137" s="161">
        <f t="shared" si="139"/>
        <v>2148.6111111111113</v>
      </c>
      <c r="O137" s="161">
        <f t="shared" si="145"/>
        <v>10829.000000000002</v>
      </c>
      <c r="P137" s="5" t="s">
        <v>25</v>
      </c>
      <c r="Q137" s="277"/>
      <c r="R137" s="5" t="s">
        <v>221</v>
      </c>
      <c r="S137" t="s">
        <v>25</v>
      </c>
      <c r="T137" s="200">
        <f t="shared" si="140"/>
        <v>3.7678571428571436E-2</v>
      </c>
      <c r="U137" s="12">
        <f t="shared" si="141"/>
        <v>4.4883531632782497E-2</v>
      </c>
      <c r="V137" s="162">
        <f t="shared" si="142"/>
        <v>32.229166666666664</v>
      </c>
      <c r="W137" s="163">
        <f t="shared" si="143"/>
        <v>0.23267558201058203</v>
      </c>
      <c r="X137" s="22">
        <f t="shared" si="146"/>
        <v>0.18990000000000004</v>
      </c>
      <c r="Y137" s="160">
        <f t="shared" si="147"/>
        <v>0.22621299942922379</v>
      </c>
      <c r="Z137">
        <f t="shared" si="148"/>
        <v>162.435</v>
      </c>
      <c r="AA137" s="6">
        <f t="shared" si="149"/>
        <v>1.1726849333333333</v>
      </c>
      <c r="AB137" s="5" t="s">
        <v>222</v>
      </c>
      <c r="AC137" s="11">
        <v>5.04</v>
      </c>
      <c r="AD137" s="13">
        <f t="shared" si="144"/>
        <v>0.87698412698412698</v>
      </c>
    </row>
    <row r="138" spans="2:30" ht="57.6" x14ac:dyDescent="0.3">
      <c r="B138" s="247" t="s">
        <v>1211</v>
      </c>
      <c r="C138" s="159">
        <f t="shared" si="138"/>
        <v>337.92325056433413</v>
      </c>
      <c r="D138" s="159">
        <f t="shared" si="136"/>
        <v>67.720090293453737</v>
      </c>
      <c r="E138" s="5" t="s">
        <v>1230</v>
      </c>
      <c r="F138" s="5" t="s">
        <v>1231</v>
      </c>
      <c r="G138" s="21" t="s">
        <v>45</v>
      </c>
      <c r="H138">
        <v>10</v>
      </c>
      <c r="I138">
        <v>10</v>
      </c>
      <c r="J138" t="s">
        <v>1392</v>
      </c>
      <c r="K138" s="8" t="s">
        <v>186</v>
      </c>
      <c r="L138" s="8" t="s">
        <v>187</v>
      </c>
      <c r="M138" s="8" t="s">
        <v>1466</v>
      </c>
      <c r="N138" s="161">
        <f t="shared" si="139"/>
        <v>1577.5771543086171</v>
      </c>
      <c r="O138" s="161">
        <f t="shared" si="145"/>
        <v>7872.11</v>
      </c>
      <c r="P138" s="5" t="s">
        <v>453</v>
      </c>
      <c r="Q138" s="277"/>
      <c r="R138" s="5" t="s">
        <v>221</v>
      </c>
      <c r="S138" t="s">
        <v>25</v>
      </c>
      <c r="T138" s="200">
        <f t="shared" si="140"/>
        <v>3.80561122244489E-2</v>
      </c>
      <c r="U138" s="12">
        <f t="shared" si="141"/>
        <v>4.3346218264153878E-2</v>
      </c>
      <c r="V138" s="162">
        <f t="shared" si="142"/>
        <v>23.663657314629255</v>
      </c>
      <c r="W138" s="163">
        <f t="shared" si="143"/>
        <v>0.17152373222635742</v>
      </c>
      <c r="X138" s="22">
        <f t="shared" si="146"/>
        <v>0.18990000000000001</v>
      </c>
      <c r="Y138" s="160">
        <f t="shared" si="147"/>
        <v>0.21629762913812786</v>
      </c>
      <c r="Z138">
        <f t="shared" si="148"/>
        <v>118.08164999999998</v>
      </c>
      <c r="AA138" s="6">
        <f t="shared" si="149"/>
        <v>0.85590342380952356</v>
      </c>
      <c r="AB138" s="5" t="s">
        <v>222</v>
      </c>
      <c r="AC138" s="11">
        <v>4.99</v>
      </c>
      <c r="AD138" s="13">
        <f t="shared" si="144"/>
        <v>0.8877755511022043</v>
      </c>
    </row>
    <row r="139" spans="2:30" ht="57.6" x14ac:dyDescent="0.3">
      <c r="B139" s="247" t="s">
        <v>1211</v>
      </c>
      <c r="C139" s="159">
        <f t="shared" si="138"/>
        <v>532.29398663697111</v>
      </c>
      <c r="D139" s="159">
        <f t="shared" si="136"/>
        <v>111.358574610245</v>
      </c>
      <c r="E139" s="5" t="s">
        <v>1232</v>
      </c>
      <c r="F139" s="5" t="s">
        <v>1233</v>
      </c>
      <c r="G139" s="21" t="s">
        <v>45</v>
      </c>
      <c r="H139">
        <v>10</v>
      </c>
      <c r="I139">
        <v>10</v>
      </c>
      <c r="J139" t="s">
        <v>1392</v>
      </c>
      <c r="K139" s="8" t="s">
        <v>186</v>
      </c>
      <c r="L139" s="8" t="s">
        <v>187</v>
      </c>
      <c r="M139" s="8" t="s">
        <v>1466</v>
      </c>
      <c r="N139" s="161">
        <f t="shared" si="139"/>
        <v>1473.8096234309623</v>
      </c>
      <c r="O139" s="161">
        <f t="shared" si="145"/>
        <v>7044.81</v>
      </c>
      <c r="P139" s="5" t="s">
        <v>453</v>
      </c>
      <c r="Q139" s="277"/>
      <c r="R139" s="5" t="s">
        <v>221</v>
      </c>
      <c r="S139" t="s">
        <v>25</v>
      </c>
      <c r="T139" s="200">
        <f t="shared" si="140"/>
        <v>3.9728033472803348E-2</v>
      </c>
      <c r="U139" s="12">
        <f t="shared" si="141"/>
        <v>4.4670174761420302E-2</v>
      </c>
      <c r="V139" s="162">
        <f t="shared" si="142"/>
        <v>22.107144351464434</v>
      </c>
      <c r="W139" s="163">
        <f t="shared" si="143"/>
        <v>0.16055082386929667</v>
      </c>
      <c r="X139" s="22">
        <f t="shared" si="146"/>
        <v>0.18990000000000001</v>
      </c>
      <c r="Y139" s="160">
        <f t="shared" si="147"/>
        <v>0.21352343535958906</v>
      </c>
      <c r="Z139">
        <f t="shared" si="148"/>
        <v>105.67215</v>
      </c>
      <c r="AA139" s="6">
        <f t="shared" si="149"/>
        <v>0.76743293809523816</v>
      </c>
      <c r="AB139" s="5" t="s">
        <v>222</v>
      </c>
      <c r="AC139" s="11">
        <v>4.78</v>
      </c>
      <c r="AD139" s="13">
        <f t="shared" si="144"/>
        <v>0.93933054393305437</v>
      </c>
    </row>
    <row r="140" spans="2:30" ht="57.6" x14ac:dyDescent="0.3">
      <c r="B140" s="247" t="s">
        <v>1211</v>
      </c>
      <c r="C140" s="176">
        <f t="shared" si="138"/>
        <v>1030.4347826086957</v>
      </c>
      <c r="D140" s="176">
        <f t="shared" si="136"/>
        <v>217.39130434782609</v>
      </c>
      <c r="E140" s="32" t="s">
        <v>1234</v>
      </c>
      <c r="F140" s="32" t="s">
        <v>1235</v>
      </c>
      <c r="G140" s="43" t="s">
        <v>45</v>
      </c>
      <c r="H140" s="35">
        <v>10</v>
      </c>
      <c r="I140" s="35">
        <v>10</v>
      </c>
      <c r="J140" s="35" t="s">
        <v>1392</v>
      </c>
      <c r="K140" s="76" t="s">
        <v>186</v>
      </c>
      <c r="L140" s="76" t="s">
        <v>187</v>
      </c>
      <c r="M140" s="76" t="s">
        <v>1466</v>
      </c>
      <c r="N140" s="201">
        <f t="shared" si="139"/>
        <v>1285.8649789029535</v>
      </c>
      <c r="O140" s="201">
        <f t="shared" si="145"/>
        <v>6095</v>
      </c>
      <c r="P140" s="32" t="s">
        <v>453</v>
      </c>
      <c r="Q140" s="278"/>
      <c r="R140" s="32" t="s">
        <v>221</v>
      </c>
      <c r="S140" s="35" t="s">
        <v>25</v>
      </c>
      <c r="T140" s="200">
        <f t="shared" si="140"/>
        <v>4.0063291139240509E-2</v>
      </c>
      <c r="U140" s="12">
        <f t="shared" si="141"/>
        <v>4.4375195677513829E-2</v>
      </c>
      <c r="V140" s="162">
        <f t="shared" si="142"/>
        <v>19.287974683544302</v>
      </c>
      <c r="W140" s="163">
        <f t="shared" si="143"/>
        <v>0.14050148683946151</v>
      </c>
      <c r="X140" s="44">
        <f t="shared" si="146"/>
        <v>0.18990000000000001</v>
      </c>
      <c r="Y140" s="177">
        <f t="shared" si="147"/>
        <v>0.21033842751141557</v>
      </c>
      <c r="Z140" s="35">
        <f t="shared" si="148"/>
        <v>91.424999999999997</v>
      </c>
      <c r="AA140" s="41">
        <f t="shared" si="149"/>
        <v>0.66597704761904764</v>
      </c>
      <c r="AB140" s="32" t="s">
        <v>222</v>
      </c>
      <c r="AC140" s="60">
        <v>4.74</v>
      </c>
      <c r="AD140" s="64">
        <f t="shared" si="144"/>
        <v>0.97046413502109696</v>
      </c>
    </row>
    <row r="141" spans="2:30" ht="72" x14ac:dyDescent="0.3">
      <c r="B141" s="109" t="s">
        <v>454</v>
      </c>
      <c r="C141" s="84" t="s">
        <v>992</v>
      </c>
      <c r="D141" s="84" t="s">
        <v>991</v>
      </c>
      <c r="E141" s="84" t="s">
        <v>1146</v>
      </c>
      <c r="F141" s="84" t="s">
        <v>1147</v>
      </c>
      <c r="G141" s="86" t="s">
        <v>45</v>
      </c>
      <c r="H141" s="90" t="s">
        <v>236</v>
      </c>
      <c r="I141" s="90" t="s">
        <v>236</v>
      </c>
      <c r="J141" s="82" t="s">
        <v>1445</v>
      </c>
      <c r="K141" s="87" t="s">
        <v>237</v>
      </c>
      <c r="L141" s="87" t="s">
        <v>238</v>
      </c>
      <c r="M141" s="87" t="s">
        <v>1455</v>
      </c>
      <c r="N141" s="95">
        <f>O141/AC141</f>
        <v>3584.6153846153843</v>
      </c>
      <c r="O141" s="84">
        <v>2330</v>
      </c>
      <c r="P141" s="84" t="s">
        <v>1456</v>
      </c>
      <c r="Q141" s="89" t="s">
        <v>188</v>
      </c>
      <c r="R141" s="84" t="s">
        <v>239</v>
      </c>
      <c r="S141" s="84" t="s">
        <v>1457</v>
      </c>
      <c r="T141" s="94">
        <f>0.1899/AC141</f>
        <v>0.29215384615384615</v>
      </c>
      <c r="U141" s="204">
        <f>$O141*81%/(8760*90%*25)+$T141</f>
        <v>0.30172918861959958</v>
      </c>
      <c r="V141" s="85">
        <f>3%*$O141</f>
        <v>69.899999999999991</v>
      </c>
      <c r="W141" s="205">
        <f>2.5/60/66%*0.1899+$V141*0.55/168</f>
        <v>0.24082792207792209</v>
      </c>
      <c r="X141" s="94">
        <f t="shared" si="146"/>
        <v>0.18990000000000001</v>
      </c>
      <c r="Y141" s="206">
        <f t="shared" si="147"/>
        <v>0.19612397260273973</v>
      </c>
      <c r="Z141" s="85">
        <f t="shared" si="148"/>
        <v>45.434999999999995</v>
      </c>
      <c r="AA141" s="207">
        <f t="shared" si="149"/>
        <v>0.15653814935064936</v>
      </c>
      <c r="AB141" s="84" t="s">
        <v>1458</v>
      </c>
      <c r="AC141" s="42">
        <v>0.65</v>
      </c>
    </row>
    <row r="142" spans="2:30" ht="57.6" x14ac:dyDescent="0.3">
      <c r="B142" s="110" t="s">
        <v>455</v>
      </c>
      <c r="C142" s="84" t="s">
        <v>992</v>
      </c>
      <c r="D142" s="84" t="s">
        <v>992</v>
      </c>
      <c r="E142" s="84" t="s">
        <v>1150</v>
      </c>
      <c r="F142" s="84" t="s">
        <v>1151</v>
      </c>
      <c r="G142" s="86" t="s">
        <v>45</v>
      </c>
      <c r="H142" s="90" t="s">
        <v>240</v>
      </c>
      <c r="I142" s="90" t="s">
        <v>240</v>
      </c>
      <c r="J142" s="82" t="s">
        <v>1445</v>
      </c>
      <c r="K142" s="87" t="s">
        <v>241</v>
      </c>
      <c r="L142" s="87" t="s">
        <v>242</v>
      </c>
      <c r="M142" s="87" t="s">
        <v>1459</v>
      </c>
      <c r="N142" s="95">
        <f>O142/AC142</f>
        <v>5327.8688524590161</v>
      </c>
      <c r="O142" s="84">
        <v>3250</v>
      </c>
      <c r="P142" s="84" t="s">
        <v>1456</v>
      </c>
      <c r="Q142" s="89" t="s">
        <v>188</v>
      </c>
      <c r="R142" s="84" t="s">
        <v>243</v>
      </c>
      <c r="S142" s="85" t="s">
        <v>1460</v>
      </c>
      <c r="T142" s="94">
        <f>0.1899/AC142</f>
        <v>0.31131147540983611</v>
      </c>
      <c r="U142" s="204">
        <f>$O142*159%/(8760*80%*25)+$T142</f>
        <v>0.34080633842353475</v>
      </c>
      <c r="V142" s="85">
        <f>3%*$O142</f>
        <v>97.5</v>
      </c>
      <c r="W142" s="205">
        <f>0.5/60/62%*0.1899+$V142*0.65/168</f>
        <v>0.37978456221198154</v>
      </c>
      <c r="X142" s="94">
        <f t="shared" si="146"/>
        <v>0.18990000000000001</v>
      </c>
      <c r="Y142" s="206">
        <f t="shared" si="147"/>
        <v>0.20789186643835619</v>
      </c>
      <c r="Z142" s="85">
        <f t="shared" si="148"/>
        <v>59.475000000000001</v>
      </c>
      <c r="AA142" s="207">
        <f t="shared" si="149"/>
        <v>0.23166858294930873</v>
      </c>
      <c r="AB142" s="84" t="s">
        <v>1458</v>
      </c>
      <c r="AC142" s="98">
        <v>0.61</v>
      </c>
    </row>
    <row r="143" spans="2:30" ht="73.2" customHeight="1" x14ac:dyDescent="0.3">
      <c r="B143" s="208" t="s">
        <v>289</v>
      </c>
      <c r="C143" s="179">
        <v>20</v>
      </c>
      <c r="D143" s="180">
        <f t="shared" ref="D143:D178" si="150">C143/AC143</f>
        <v>21.09704641350211</v>
      </c>
      <c r="E143" s="5" t="s">
        <v>1014</v>
      </c>
      <c r="F143" s="5" t="s">
        <v>1015</v>
      </c>
      <c r="G143" s="182" t="s">
        <v>45</v>
      </c>
      <c r="H143" s="209" t="s">
        <v>264</v>
      </c>
      <c r="I143" s="209" t="s">
        <v>264</v>
      </c>
      <c r="J143" s="181" t="s">
        <v>265</v>
      </c>
      <c r="K143" s="179" t="s">
        <v>266</v>
      </c>
      <c r="L143" s="179" t="s">
        <v>267</v>
      </c>
      <c r="M143" s="179" t="s">
        <v>268</v>
      </c>
      <c r="N143" s="196">
        <f>17740/$D143*1.4</f>
        <v>1177.2263999999998</v>
      </c>
      <c r="O143" s="192">
        <f t="shared" ref="O143:O182" si="151">N143*AC143</f>
        <v>1116.0106271999998</v>
      </c>
      <c r="P143" s="181" t="s">
        <v>269</v>
      </c>
      <c r="Q143" s="281" t="s">
        <v>456</v>
      </c>
      <c r="R143" s="186">
        <v>20</v>
      </c>
      <c r="S143" s="186" t="s">
        <v>25</v>
      </c>
      <c r="T143" s="12">
        <f>0.0338/AC143</f>
        <v>3.5654008438818566E-2</v>
      </c>
      <c r="U143" s="197">
        <f>$N143*38%/(8760*29%*20)+$T143</f>
        <v>4.4458646133669774E-2</v>
      </c>
      <c r="V143" s="192">
        <f t="shared" ref="V143:V164" si="152">6.5%*$N143</f>
        <v>76.519715999999988</v>
      </c>
      <c r="W143" s="210">
        <f t="shared" ref="W143:W164" si="153">(1/3/0.95*0.0338+$V143*0.4/64)</f>
        <v>0.49010787412280699</v>
      </c>
      <c r="X143" s="188">
        <f t="shared" si="146"/>
        <v>3.3799999999999997E-2</v>
      </c>
      <c r="Y143" s="185">
        <f t="shared" si="147"/>
        <v>4.2146796534718943E-2</v>
      </c>
      <c r="Z143" s="186">
        <f t="shared" si="148"/>
        <v>72.54069076799999</v>
      </c>
      <c r="AA143" s="187">
        <f t="shared" si="149"/>
        <v>0.46462226466842099</v>
      </c>
      <c r="AB143" s="181" t="s">
        <v>270</v>
      </c>
      <c r="AC143" s="231">
        <v>0.94799999999999995</v>
      </c>
    </row>
    <row r="144" spans="2:30" ht="73.2" customHeight="1" x14ac:dyDescent="0.3">
      <c r="B144" s="111" t="s">
        <v>289</v>
      </c>
      <c r="C144" s="3">
        <v>35</v>
      </c>
      <c r="D144" s="159">
        <f t="shared" si="150"/>
        <v>36.764705882352942</v>
      </c>
      <c r="E144" s="5" t="s">
        <v>1016</v>
      </c>
      <c r="F144" s="5" t="s">
        <v>1018</v>
      </c>
      <c r="G144" s="21" t="s">
        <v>45</v>
      </c>
      <c r="H144" s="105" t="s">
        <v>264</v>
      </c>
      <c r="I144" s="105" t="s">
        <v>264</v>
      </c>
      <c r="J144" s="5" t="s">
        <v>265</v>
      </c>
      <c r="K144" s="3" t="s">
        <v>266</v>
      </c>
      <c r="L144" s="3" t="s">
        <v>267</v>
      </c>
      <c r="M144" s="3" t="s">
        <v>268</v>
      </c>
      <c r="N144" s="161">
        <f>18509/$D144*1.4</f>
        <v>704.82271999999989</v>
      </c>
      <c r="O144" s="11">
        <f t="shared" si="151"/>
        <v>670.99122943999987</v>
      </c>
      <c r="P144" s="5" t="s">
        <v>269</v>
      </c>
      <c r="Q144" s="279"/>
      <c r="R144">
        <v>20</v>
      </c>
      <c r="S144" t="s">
        <v>25</v>
      </c>
      <c r="T144" s="12">
        <f t="shared" ref="T144:T164" si="154">0.0338/AC144</f>
        <v>3.5504201680672268E-2</v>
      </c>
      <c r="U144" s="12">
        <f>$N144*38%/(8760*29%*20)+$T144</f>
        <v>4.0775667465588028E-2</v>
      </c>
      <c r="V144" s="11">
        <f t="shared" si="152"/>
        <v>45.813476799999997</v>
      </c>
      <c r="W144" s="13">
        <f t="shared" si="153"/>
        <v>0.29819387912280698</v>
      </c>
      <c r="X144" s="22">
        <f t="shared" si="146"/>
        <v>3.3799999999999997E-2</v>
      </c>
      <c r="Y144" s="160">
        <f t="shared" si="147"/>
        <v>3.8818435427239804E-2</v>
      </c>
      <c r="Z144">
        <f t="shared" si="148"/>
        <v>43.614429913599992</v>
      </c>
      <c r="AA144" s="6">
        <f t="shared" si="149"/>
        <v>0.28388057292491226</v>
      </c>
      <c r="AB144" s="5" t="s">
        <v>270</v>
      </c>
      <c r="AC144" s="232">
        <v>0.95199999999999996</v>
      </c>
    </row>
    <row r="145" spans="2:29" ht="73.2" customHeight="1" x14ac:dyDescent="0.3">
      <c r="B145" s="111" t="s">
        <v>289</v>
      </c>
      <c r="C145" s="3">
        <v>45</v>
      </c>
      <c r="D145" s="159">
        <f t="shared" si="150"/>
        <v>47.219307450157402</v>
      </c>
      <c r="E145" s="5" t="s">
        <v>1017</v>
      </c>
      <c r="F145" s="5" t="s">
        <v>1019</v>
      </c>
      <c r="G145" s="21" t="s">
        <v>45</v>
      </c>
      <c r="H145" s="105" t="s">
        <v>264</v>
      </c>
      <c r="I145" s="105" t="s">
        <v>264</v>
      </c>
      <c r="J145" s="5" t="s">
        <v>265</v>
      </c>
      <c r="K145" s="3" t="s">
        <v>273</v>
      </c>
      <c r="L145" s="3" t="s">
        <v>267</v>
      </c>
      <c r="M145" s="3" t="s">
        <v>268</v>
      </c>
      <c r="N145" s="161">
        <f>20538/$D145*1.4</f>
        <v>608.92887999999994</v>
      </c>
      <c r="O145" s="11">
        <f t="shared" si="151"/>
        <v>580.30922263999992</v>
      </c>
      <c r="P145" s="5" t="s">
        <v>269</v>
      </c>
      <c r="Q145" s="279"/>
      <c r="R145">
        <v>20</v>
      </c>
      <c r="S145" t="s">
        <v>25</v>
      </c>
      <c r="T145" s="12">
        <f t="shared" si="154"/>
        <v>3.5466946484784885E-2</v>
      </c>
      <c r="U145" s="12">
        <f>$N145*38%/(8760*29%*20)+$T145</f>
        <v>4.0021209089099168E-2</v>
      </c>
      <c r="V145" s="11">
        <f t="shared" si="152"/>
        <v>39.580377199999994</v>
      </c>
      <c r="W145" s="13">
        <f t="shared" si="153"/>
        <v>0.25923700662280702</v>
      </c>
      <c r="X145" s="22">
        <f t="shared" si="146"/>
        <v>3.3799999999999997E-2</v>
      </c>
      <c r="Y145" s="160">
        <f t="shared" si="147"/>
        <v>3.8140212261911506E-2</v>
      </c>
      <c r="Z145">
        <f t="shared" si="148"/>
        <v>37.720099471599994</v>
      </c>
      <c r="AA145" s="6">
        <f t="shared" si="149"/>
        <v>0.24705286731153508</v>
      </c>
      <c r="AB145" s="5" t="s">
        <v>270</v>
      </c>
      <c r="AC145" s="232">
        <v>0.95299999999999996</v>
      </c>
    </row>
    <row r="146" spans="2:29" ht="73.2" customHeight="1" x14ac:dyDescent="0.3">
      <c r="B146" s="111" t="s">
        <v>289</v>
      </c>
      <c r="C146" s="3">
        <v>60</v>
      </c>
      <c r="D146" s="159">
        <f t="shared" si="150"/>
        <v>63.025210084033617</v>
      </c>
      <c r="E146" s="5" t="s">
        <v>1021</v>
      </c>
      <c r="F146" s="5" t="s">
        <v>1020</v>
      </c>
      <c r="G146" s="21" t="s">
        <v>45</v>
      </c>
      <c r="H146" s="105" t="s">
        <v>264</v>
      </c>
      <c r="I146" s="105" t="s">
        <v>264</v>
      </c>
      <c r="J146" s="5" t="s">
        <v>265</v>
      </c>
      <c r="K146" s="3" t="s">
        <v>273</v>
      </c>
      <c r="L146" s="3" t="s">
        <v>267</v>
      </c>
      <c r="M146" s="3" t="s">
        <v>268</v>
      </c>
      <c r="N146" s="161">
        <f>22693/$D146*1.4</f>
        <v>504.08717333333323</v>
      </c>
      <c r="O146" s="11">
        <f t="shared" si="151"/>
        <v>479.89098901333318</v>
      </c>
      <c r="P146" s="5" t="s">
        <v>269</v>
      </c>
      <c r="Q146" s="279"/>
      <c r="R146">
        <v>20</v>
      </c>
      <c r="S146" t="s">
        <v>25</v>
      </c>
      <c r="T146" s="12">
        <f t="shared" si="154"/>
        <v>3.5504201680672268E-2</v>
      </c>
      <c r="U146" s="12">
        <f t="shared" ref="U146:U164" si="155">$N146*38%/(8760*78%*20)+$T146</f>
        <v>3.6905919321073469E-2</v>
      </c>
      <c r="V146" s="11">
        <f t="shared" si="152"/>
        <v>32.765666266666663</v>
      </c>
      <c r="W146" s="13">
        <f t="shared" si="153"/>
        <v>0.21664506328947367</v>
      </c>
      <c r="X146" s="22">
        <f t="shared" si="146"/>
        <v>3.3799999999999997E-2</v>
      </c>
      <c r="Y146" s="160">
        <f t="shared" si="147"/>
        <v>3.5134435193661939E-2</v>
      </c>
      <c r="Z146">
        <f t="shared" si="148"/>
        <v>31.192914285866664</v>
      </c>
      <c r="AA146" s="6">
        <f t="shared" si="149"/>
        <v>0.20624610025157891</v>
      </c>
      <c r="AB146" s="5" t="s">
        <v>270</v>
      </c>
      <c r="AC146" s="232">
        <v>0.95199999999999996</v>
      </c>
    </row>
    <row r="147" spans="2:29" ht="72" customHeight="1" x14ac:dyDescent="0.3">
      <c r="B147" s="111" t="s">
        <v>289</v>
      </c>
      <c r="C147" s="3">
        <v>80</v>
      </c>
      <c r="D147" s="159">
        <f t="shared" si="150"/>
        <v>84.29926238145417</v>
      </c>
      <c r="E147" s="5" t="s">
        <v>1023</v>
      </c>
      <c r="F147" s="5" t="s">
        <v>1022</v>
      </c>
      <c r="G147" s="21" t="s">
        <v>45</v>
      </c>
      <c r="H147" s="105" t="s">
        <v>264</v>
      </c>
      <c r="I147" s="105" t="s">
        <v>264</v>
      </c>
      <c r="J147" s="5" t="s">
        <v>265</v>
      </c>
      <c r="K147" s="3" t="s">
        <v>273</v>
      </c>
      <c r="L147" s="3" t="s">
        <v>267</v>
      </c>
      <c r="M147" s="3" t="s">
        <v>268</v>
      </c>
      <c r="N147" s="161">
        <f>25644/$D147*1.4</f>
        <v>425.88272999999992</v>
      </c>
      <c r="O147" s="11">
        <f t="shared" si="151"/>
        <v>404.16271076999993</v>
      </c>
      <c r="P147" s="5" t="s">
        <v>269</v>
      </c>
      <c r="Q147" s="279"/>
      <c r="R147">
        <v>20</v>
      </c>
      <c r="S147" t="s">
        <v>25</v>
      </c>
      <c r="T147" s="12">
        <f t="shared" si="154"/>
        <v>3.5616438356164383E-2</v>
      </c>
      <c r="U147" s="12">
        <f t="shared" si="155"/>
        <v>3.6800692522831052E-2</v>
      </c>
      <c r="V147" s="11">
        <f t="shared" si="152"/>
        <v>27.682377449999997</v>
      </c>
      <c r="W147" s="13">
        <f t="shared" si="153"/>
        <v>0.18487450818530701</v>
      </c>
      <c r="X147" s="22">
        <f t="shared" si="146"/>
        <v>3.3799999999999997E-2</v>
      </c>
      <c r="Y147" s="160">
        <f t="shared" si="147"/>
        <v>3.4923857204166665E-2</v>
      </c>
      <c r="Z147">
        <f t="shared" si="148"/>
        <v>26.270576200049994</v>
      </c>
      <c r="AA147" s="6">
        <f t="shared" si="149"/>
        <v>0.17544590826785636</v>
      </c>
      <c r="AB147" s="5" t="s">
        <v>274</v>
      </c>
      <c r="AC147" s="232">
        <v>0.94899999999999995</v>
      </c>
    </row>
    <row r="148" spans="2:29" ht="75" customHeight="1" x14ac:dyDescent="0.3">
      <c r="B148" s="111" t="s">
        <v>289</v>
      </c>
      <c r="C148" s="3">
        <v>99</v>
      </c>
      <c r="D148" s="159">
        <f t="shared" si="150"/>
        <v>103.88247639034628</v>
      </c>
      <c r="E148" s="5" t="s">
        <v>1024</v>
      </c>
      <c r="F148" s="5" t="s">
        <v>1025</v>
      </c>
      <c r="G148" s="21" t="s">
        <v>45</v>
      </c>
      <c r="H148" s="105" t="s">
        <v>264</v>
      </c>
      <c r="I148" s="105" t="s">
        <v>264</v>
      </c>
      <c r="J148" s="5" t="s">
        <v>265</v>
      </c>
      <c r="K148" s="3" t="s">
        <v>273</v>
      </c>
      <c r="L148" s="3" t="s">
        <v>267</v>
      </c>
      <c r="M148" s="3" t="s">
        <v>268</v>
      </c>
      <c r="N148" s="161">
        <f>27136/$D148*1.4</f>
        <v>365.70556767676766</v>
      </c>
      <c r="O148" s="11">
        <f t="shared" si="151"/>
        <v>348.51740599595956</v>
      </c>
      <c r="P148" s="5" t="s">
        <v>269</v>
      </c>
      <c r="Q148" s="279"/>
      <c r="R148">
        <v>20</v>
      </c>
      <c r="S148" t="s">
        <v>25</v>
      </c>
      <c r="T148" s="12">
        <f t="shared" si="154"/>
        <v>3.5466946484784885E-2</v>
      </c>
      <c r="U148" s="12">
        <f t="shared" si="155"/>
        <v>3.6483865725192709E-2</v>
      </c>
      <c r="V148" s="11">
        <f t="shared" si="152"/>
        <v>23.770861898989899</v>
      </c>
      <c r="W148" s="13">
        <f t="shared" si="153"/>
        <v>0.1604275359914939</v>
      </c>
      <c r="X148" s="22">
        <f t="shared" si="146"/>
        <v>3.3799999999999997E-2</v>
      </c>
      <c r="Y148" s="160">
        <f t="shared" si="147"/>
        <v>3.4769124036108649E-2</v>
      </c>
      <c r="Z148">
        <f t="shared" si="148"/>
        <v>22.653631389737374</v>
      </c>
      <c r="AA148" s="6">
        <f t="shared" si="149"/>
        <v>0.15288744179989366</v>
      </c>
      <c r="AB148" s="5" t="s">
        <v>274</v>
      </c>
      <c r="AC148" s="232">
        <v>0.95299999999999996</v>
      </c>
    </row>
    <row r="149" spans="2:29" ht="74.400000000000006" customHeight="1" x14ac:dyDescent="0.3">
      <c r="B149" s="111" t="s">
        <v>289</v>
      </c>
      <c r="C149" s="3">
        <v>120</v>
      </c>
      <c r="D149" s="159">
        <f t="shared" si="150"/>
        <v>125.39184952978057</v>
      </c>
      <c r="E149" s="5" t="s">
        <v>1026</v>
      </c>
      <c r="F149" s="5" t="s">
        <v>1027</v>
      </c>
      <c r="G149" s="21" t="s">
        <v>45</v>
      </c>
      <c r="H149" s="105" t="s">
        <v>264</v>
      </c>
      <c r="I149" s="105" t="s">
        <v>264</v>
      </c>
      <c r="J149" s="5" t="s">
        <v>265</v>
      </c>
      <c r="K149" s="3" t="s">
        <v>273</v>
      </c>
      <c r="L149" s="3" t="s">
        <v>267</v>
      </c>
      <c r="M149" s="3" t="s">
        <v>268</v>
      </c>
      <c r="N149" s="161">
        <f>34654/$D149*1.4</f>
        <v>386.91190999999992</v>
      </c>
      <c r="O149" s="11">
        <f t="shared" si="151"/>
        <v>370.2746978699999</v>
      </c>
      <c r="P149" s="5" t="s">
        <v>269</v>
      </c>
      <c r="Q149" s="279"/>
      <c r="R149">
        <v>20</v>
      </c>
      <c r="S149" t="s">
        <v>25</v>
      </c>
      <c r="T149" s="12">
        <f t="shared" si="154"/>
        <v>3.5318704284221521E-2</v>
      </c>
      <c r="U149" s="12">
        <f t="shared" si="155"/>
        <v>3.6394592103270812E-2</v>
      </c>
      <c r="V149" s="11">
        <f t="shared" si="152"/>
        <v>25.149274149999997</v>
      </c>
      <c r="W149" s="13">
        <f t="shared" si="153"/>
        <v>0.169042612560307</v>
      </c>
      <c r="X149" s="22">
        <f t="shared" si="146"/>
        <v>3.3799999999999997E-2</v>
      </c>
      <c r="Y149" s="160">
        <f t="shared" si="147"/>
        <v>3.4829624642830168E-2</v>
      </c>
      <c r="Z149">
        <f t="shared" si="148"/>
        <v>24.067855361549995</v>
      </c>
      <c r="AA149" s="6">
        <f t="shared" si="149"/>
        <v>0.1617737802202138</v>
      </c>
      <c r="AB149" s="5" t="s">
        <v>274</v>
      </c>
      <c r="AC149" s="232">
        <v>0.95699999999999996</v>
      </c>
    </row>
    <row r="150" spans="2:29" ht="72" customHeight="1" x14ac:dyDescent="0.3">
      <c r="B150" s="111" t="s">
        <v>289</v>
      </c>
      <c r="C150" s="3">
        <v>130</v>
      </c>
      <c r="D150" s="159">
        <f t="shared" si="150"/>
        <v>140.54054054054055</v>
      </c>
      <c r="E150" s="5" t="s">
        <v>1028</v>
      </c>
      <c r="F150" s="5" t="s">
        <v>1029</v>
      </c>
      <c r="G150" s="21" t="s">
        <v>45</v>
      </c>
      <c r="H150" s="105" t="s">
        <v>264</v>
      </c>
      <c r="I150" s="105" t="s">
        <v>264</v>
      </c>
      <c r="J150" s="5" t="s">
        <v>265</v>
      </c>
      <c r="K150" s="3" t="s">
        <v>273</v>
      </c>
      <c r="L150" s="3" t="s">
        <v>267</v>
      </c>
      <c r="M150" s="3" t="s">
        <v>268</v>
      </c>
      <c r="N150" s="161">
        <f>36030/$D150*1.4</f>
        <v>358.91423076923076</v>
      </c>
      <c r="O150" s="11">
        <f t="shared" si="151"/>
        <v>331.99566346153847</v>
      </c>
      <c r="P150" s="5" t="s">
        <v>269</v>
      </c>
      <c r="Q150" s="279"/>
      <c r="R150">
        <v>20</v>
      </c>
      <c r="S150" t="s">
        <v>25</v>
      </c>
      <c r="T150" s="12">
        <f t="shared" si="154"/>
        <v>3.6540540540540532E-2</v>
      </c>
      <c r="U150" s="12">
        <f t="shared" si="155"/>
        <v>3.7538575077570066E-2</v>
      </c>
      <c r="V150" s="11">
        <f t="shared" si="152"/>
        <v>23.329425000000001</v>
      </c>
      <c r="W150" s="13">
        <f t="shared" si="153"/>
        <v>0.15766855537280702</v>
      </c>
      <c r="X150" s="22">
        <f t="shared" si="146"/>
        <v>3.3799999999999997E-2</v>
      </c>
      <c r="Y150" s="160">
        <f t="shared" si="147"/>
        <v>3.4723181946752314E-2</v>
      </c>
      <c r="Z150">
        <f t="shared" si="148"/>
        <v>21.579718125000003</v>
      </c>
      <c r="AA150" s="6">
        <f t="shared" si="149"/>
        <v>0.14584341371984649</v>
      </c>
      <c r="AB150" s="5" t="s">
        <v>274</v>
      </c>
      <c r="AC150" s="232">
        <v>0.92500000000000004</v>
      </c>
    </row>
    <row r="151" spans="2:29" ht="72.599999999999994" customHeight="1" x14ac:dyDescent="0.3">
      <c r="B151" s="111" t="s">
        <v>289</v>
      </c>
      <c r="C151" s="3">
        <v>149</v>
      </c>
      <c r="D151" s="159">
        <f t="shared" si="150"/>
        <v>161.08108108108107</v>
      </c>
      <c r="E151" s="5" t="s">
        <v>1030</v>
      </c>
      <c r="F151" s="5" t="s">
        <v>1031</v>
      </c>
      <c r="G151" s="21" t="s">
        <v>45</v>
      </c>
      <c r="H151" s="105" t="s">
        <v>264</v>
      </c>
      <c r="I151" s="105" t="s">
        <v>264</v>
      </c>
      <c r="J151" s="5" t="s">
        <v>265</v>
      </c>
      <c r="K151" s="3" t="s">
        <v>273</v>
      </c>
      <c r="L151" s="3" t="s">
        <v>267</v>
      </c>
      <c r="M151" s="3" t="s">
        <v>268</v>
      </c>
      <c r="N151" s="161">
        <f>37433/$D151*1.4</f>
        <v>325.3405033557047</v>
      </c>
      <c r="O151" s="11">
        <f t="shared" si="151"/>
        <v>300.93996560402684</v>
      </c>
      <c r="P151" s="5" t="s">
        <v>269</v>
      </c>
      <c r="Q151" s="279"/>
      <c r="R151">
        <v>20</v>
      </c>
      <c r="S151" t="s">
        <v>25</v>
      </c>
      <c r="T151" s="12">
        <f t="shared" si="154"/>
        <v>3.6540540540540532E-2</v>
      </c>
      <c r="U151" s="12">
        <f t="shared" si="155"/>
        <v>3.7445216451405534E-2</v>
      </c>
      <c r="V151" s="11">
        <f t="shared" si="152"/>
        <v>21.147132718120805</v>
      </c>
      <c r="W151" s="13">
        <f t="shared" si="153"/>
        <v>0.14402922861106204</v>
      </c>
      <c r="X151" s="22">
        <f t="shared" si="146"/>
        <v>3.3799999999999997E-2</v>
      </c>
      <c r="Y151" s="160">
        <f t="shared" si="147"/>
        <v>3.463682521755012E-2</v>
      </c>
      <c r="Z151">
        <f t="shared" si="148"/>
        <v>19.561097764261746</v>
      </c>
      <c r="AA151" s="6">
        <f t="shared" si="149"/>
        <v>0.1332270364652324</v>
      </c>
      <c r="AB151" s="5" t="s">
        <v>274</v>
      </c>
      <c r="AC151" s="232">
        <v>0.92500000000000004</v>
      </c>
    </row>
    <row r="152" spans="2:29" ht="72.599999999999994" customHeight="1" x14ac:dyDescent="0.3">
      <c r="B152" s="111" t="s">
        <v>289</v>
      </c>
      <c r="C152" s="3">
        <v>180</v>
      </c>
      <c r="D152" s="159">
        <f t="shared" si="150"/>
        <v>194.59459459459458</v>
      </c>
      <c r="E152" s="5" t="s">
        <v>1032</v>
      </c>
      <c r="F152" s="5" t="s">
        <v>1033</v>
      </c>
      <c r="G152" s="21" t="s">
        <v>45</v>
      </c>
      <c r="H152" s="105" t="s">
        <v>264</v>
      </c>
      <c r="I152" s="105" t="s">
        <v>264</v>
      </c>
      <c r="J152" s="5" t="s">
        <v>265</v>
      </c>
      <c r="K152" s="3" t="s">
        <v>273</v>
      </c>
      <c r="L152" s="3" t="s">
        <v>267</v>
      </c>
      <c r="M152" s="3" t="s">
        <v>268</v>
      </c>
      <c r="N152" s="161">
        <f>40097/$D152*1.4</f>
        <v>288.47563888888891</v>
      </c>
      <c r="O152" s="11">
        <f t="shared" si="151"/>
        <v>266.83996597222227</v>
      </c>
      <c r="P152" s="5" t="s">
        <v>269</v>
      </c>
      <c r="Q152" s="279"/>
      <c r="R152">
        <v>20</v>
      </c>
      <c r="S152" t="s">
        <v>25</v>
      </c>
      <c r="T152" s="12">
        <f t="shared" si="154"/>
        <v>3.6540540540540532E-2</v>
      </c>
      <c r="U152" s="12">
        <f t="shared" si="155"/>
        <v>3.7342706144522633E-2</v>
      </c>
      <c r="V152" s="11">
        <f t="shared" si="152"/>
        <v>18.750916527777779</v>
      </c>
      <c r="W152" s="13">
        <f t="shared" si="153"/>
        <v>0.12905287742141813</v>
      </c>
      <c r="X152" s="22">
        <f t="shared" si="146"/>
        <v>3.3799999999999997E-2</v>
      </c>
      <c r="Y152" s="160">
        <f t="shared" si="147"/>
        <v>3.4542003183683438E-2</v>
      </c>
      <c r="Z152">
        <f t="shared" si="148"/>
        <v>17.344597788194445</v>
      </c>
      <c r="AA152" s="6">
        <f t="shared" si="149"/>
        <v>0.11937391161481178</v>
      </c>
      <c r="AB152" s="5" t="s">
        <v>274</v>
      </c>
      <c r="AC152" s="232">
        <v>0.92500000000000004</v>
      </c>
    </row>
    <row r="153" spans="2:29" ht="73.2" customHeight="1" x14ac:dyDescent="0.3">
      <c r="B153" s="111" t="s">
        <v>289</v>
      </c>
      <c r="C153" s="3">
        <v>199</v>
      </c>
      <c r="D153" s="159">
        <f t="shared" si="150"/>
        <v>215.13513513513513</v>
      </c>
      <c r="E153" s="5" t="s">
        <v>1034</v>
      </c>
      <c r="F153" s="5" t="s">
        <v>1035</v>
      </c>
      <c r="G153" s="21" t="s">
        <v>45</v>
      </c>
      <c r="H153" s="105" t="s">
        <v>264</v>
      </c>
      <c r="I153" s="105" t="s">
        <v>264</v>
      </c>
      <c r="J153" s="5" t="s">
        <v>265</v>
      </c>
      <c r="K153" s="3" t="s">
        <v>266</v>
      </c>
      <c r="L153" s="3" t="s">
        <v>267</v>
      </c>
      <c r="M153" s="3" t="s">
        <v>268</v>
      </c>
      <c r="N153" s="161">
        <f>41611/$D153*1.4</f>
        <v>270.78515075376885</v>
      </c>
      <c r="O153" s="11">
        <f t="shared" si="151"/>
        <v>250.47626444723619</v>
      </c>
      <c r="P153" s="5" t="s">
        <v>269</v>
      </c>
      <c r="Q153" s="279"/>
      <c r="R153">
        <v>20</v>
      </c>
      <c r="S153" t="s">
        <v>25</v>
      </c>
      <c r="T153" s="12">
        <f t="shared" si="154"/>
        <v>3.6540540540540532E-2</v>
      </c>
      <c r="U153" s="12">
        <f t="shared" si="155"/>
        <v>3.7293514118622959E-2</v>
      </c>
      <c r="V153" s="11">
        <f t="shared" si="152"/>
        <v>17.601034798994977</v>
      </c>
      <c r="W153" s="13">
        <f t="shared" si="153"/>
        <v>0.12186611661652563</v>
      </c>
      <c r="X153" s="22">
        <f t="shared" si="146"/>
        <v>3.3799999999999997E-2</v>
      </c>
      <c r="Y153" s="160">
        <f t="shared" si="147"/>
        <v>3.4496500559726237E-2</v>
      </c>
      <c r="Z153">
        <f t="shared" si="148"/>
        <v>16.280957189070353</v>
      </c>
      <c r="AA153" s="6">
        <f t="shared" si="149"/>
        <v>0.11272615787028621</v>
      </c>
      <c r="AB153" s="5" t="s">
        <v>270</v>
      </c>
      <c r="AC153" s="232">
        <v>0.92500000000000004</v>
      </c>
    </row>
    <row r="154" spans="2:29" ht="73.2" customHeight="1" x14ac:dyDescent="0.3">
      <c r="B154" s="111" t="s">
        <v>289</v>
      </c>
      <c r="C154" s="3">
        <v>249</v>
      </c>
      <c r="D154" s="159">
        <f t="shared" si="150"/>
        <v>259.91649269311068</v>
      </c>
      <c r="E154" s="5" t="s">
        <v>1036</v>
      </c>
      <c r="F154" s="5" t="s">
        <v>1037</v>
      </c>
      <c r="G154" s="21" t="s">
        <v>45</v>
      </c>
      <c r="H154" s="105" t="s">
        <v>264</v>
      </c>
      <c r="I154" s="105" t="s">
        <v>264</v>
      </c>
      <c r="J154" s="5" t="s">
        <v>265</v>
      </c>
      <c r="K154" s="3" t="s">
        <v>266</v>
      </c>
      <c r="L154" s="3" t="s">
        <v>267</v>
      </c>
      <c r="M154" s="3" t="s">
        <v>268</v>
      </c>
      <c r="N154" s="161">
        <f>55893/$D154*1.4</f>
        <v>301.05900240963848</v>
      </c>
      <c r="O154" s="11">
        <f t="shared" si="151"/>
        <v>288.41452430843367</v>
      </c>
      <c r="P154" s="5" t="s">
        <v>269</v>
      </c>
      <c r="Q154" s="279"/>
      <c r="R154">
        <v>20</v>
      </c>
      <c r="S154" t="s">
        <v>25</v>
      </c>
      <c r="T154" s="12">
        <f t="shared" si="154"/>
        <v>3.5281837160751561E-2</v>
      </c>
      <c r="U154" s="12">
        <f t="shared" si="155"/>
        <v>3.6118993384522652E-2</v>
      </c>
      <c r="V154" s="11">
        <f t="shared" si="152"/>
        <v>19.568835156626502</v>
      </c>
      <c r="W154" s="13">
        <f t="shared" si="153"/>
        <v>0.13416486885172266</v>
      </c>
      <c r="X154" s="22">
        <f t="shared" si="146"/>
        <v>3.3799999999999997E-2</v>
      </c>
      <c r="Y154" s="160">
        <f t="shared" si="147"/>
        <v>3.4601995662372702E-2</v>
      </c>
      <c r="Z154">
        <f t="shared" si="148"/>
        <v>18.746944080048188</v>
      </c>
      <c r="AA154" s="6">
        <f t="shared" si="149"/>
        <v>0.1285299443599503</v>
      </c>
      <c r="AB154" s="5" t="s">
        <v>270</v>
      </c>
      <c r="AC154" s="232">
        <v>0.95799999999999996</v>
      </c>
    </row>
    <row r="155" spans="2:29" ht="72" customHeight="1" x14ac:dyDescent="0.3">
      <c r="B155" s="111" t="s">
        <v>289</v>
      </c>
      <c r="C155" s="3">
        <v>299</v>
      </c>
      <c r="D155" s="159">
        <f t="shared" si="150"/>
        <v>313.08900523560209</v>
      </c>
      <c r="E155" s="5" t="s">
        <v>1039</v>
      </c>
      <c r="F155" s="5" t="s">
        <v>1038</v>
      </c>
      <c r="G155" s="21" t="s">
        <v>45</v>
      </c>
      <c r="H155" s="105" t="s">
        <v>264</v>
      </c>
      <c r="I155" s="105" t="s">
        <v>264</v>
      </c>
      <c r="J155" s="5" t="s">
        <v>265</v>
      </c>
      <c r="K155" s="3" t="s">
        <v>273</v>
      </c>
      <c r="L155" s="3" t="s">
        <v>267</v>
      </c>
      <c r="M155" s="3" t="s">
        <v>268</v>
      </c>
      <c r="N155" s="161">
        <f>65062/$D155*1.4</f>
        <v>290.92941137123745</v>
      </c>
      <c r="O155" s="11">
        <f t="shared" si="151"/>
        <v>277.83758785953177</v>
      </c>
      <c r="P155" s="5" t="s">
        <v>269</v>
      </c>
      <c r="Q155" s="279"/>
      <c r="R155">
        <v>20</v>
      </c>
      <c r="S155" t="s">
        <v>25</v>
      </c>
      <c r="T155" s="12">
        <f t="shared" si="154"/>
        <v>3.5392670157068061E-2</v>
      </c>
      <c r="U155" s="12">
        <f t="shared" si="155"/>
        <v>3.6201658978057043E-2</v>
      </c>
      <c r="V155" s="11">
        <f t="shared" si="152"/>
        <v>18.910411739130435</v>
      </c>
      <c r="W155" s="13">
        <f t="shared" si="153"/>
        <v>0.13004972249237223</v>
      </c>
      <c r="X155" s="22">
        <f t="shared" si="146"/>
        <v>3.3799999999999997E-2</v>
      </c>
      <c r="Y155" s="160">
        <f t="shared" si="147"/>
        <v>3.4572584324044475E-2</v>
      </c>
      <c r="Z155">
        <f t="shared" si="148"/>
        <v>18.059443210869564</v>
      </c>
      <c r="AA155" s="6">
        <f t="shared" si="149"/>
        <v>0.12419748498021548</v>
      </c>
      <c r="AB155" s="5" t="s">
        <v>270</v>
      </c>
      <c r="AC155" s="232">
        <v>0.95499999999999996</v>
      </c>
    </row>
    <row r="156" spans="2:29" ht="73.2" customHeight="1" x14ac:dyDescent="0.3">
      <c r="B156" s="111" t="s">
        <v>289</v>
      </c>
      <c r="C156" s="3">
        <v>349</v>
      </c>
      <c r="D156" s="159">
        <f t="shared" si="150"/>
        <v>365.44502617801049</v>
      </c>
      <c r="E156" s="5" t="s">
        <v>1040</v>
      </c>
      <c r="F156" s="5" t="s">
        <v>1041</v>
      </c>
      <c r="G156" s="21" t="s">
        <v>45</v>
      </c>
      <c r="H156" s="105" t="s">
        <v>264</v>
      </c>
      <c r="I156" s="105" t="s">
        <v>264</v>
      </c>
      <c r="J156" s="5" t="s">
        <v>265</v>
      </c>
      <c r="K156" s="3" t="s">
        <v>273</v>
      </c>
      <c r="L156" s="3" t="s">
        <v>267</v>
      </c>
      <c r="M156" s="3" t="s">
        <v>268</v>
      </c>
      <c r="N156" s="161">
        <f>73310/$D156*1.4</f>
        <v>280.84661891117474</v>
      </c>
      <c r="O156" s="11">
        <f t="shared" si="151"/>
        <v>268.20852106017185</v>
      </c>
      <c r="P156" s="5" t="s">
        <v>269</v>
      </c>
      <c r="Q156" s="279"/>
      <c r="R156">
        <v>20</v>
      </c>
      <c r="S156" t="s">
        <v>25</v>
      </c>
      <c r="T156" s="12">
        <f t="shared" si="154"/>
        <v>3.5392670157068061E-2</v>
      </c>
      <c r="U156" s="12">
        <f t="shared" si="155"/>
        <v>3.6173621708308012E-2</v>
      </c>
      <c r="V156" s="11">
        <f t="shared" si="152"/>
        <v>18.25503022922636</v>
      </c>
      <c r="W156" s="13">
        <f t="shared" si="153"/>
        <v>0.12595358805547177</v>
      </c>
      <c r="X156" s="22">
        <f t="shared" si="146"/>
        <v>3.3799999999999997E-2</v>
      </c>
      <c r="Y156" s="160">
        <f t="shared" si="147"/>
        <v>3.4545808731434154E-2</v>
      </c>
      <c r="Z156">
        <f t="shared" si="148"/>
        <v>17.433553868911172</v>
      </c>
      <c r="AA156" s="6">
        <f t="shared" si="149"/>
        <v>0.12028567659297554</v>
      </c>
      <c r="AB156" s="5" t="s">
        <v>270</v>
      </c>
      <c r="AC156" s="232">
        <v>0.95499999999999996</v>
      </c>
    </row>
    <row r="157" spans="2:29" ht="74.400000000000006" customHeight="1" x14ac:dyDescent="0.3">
      <c r="B157" s="111" t="s">
        <v>289</v>
      </c>
      <c r="C157" s="3">
        <v>399</v>
      </c>
      <c r="D157" s="159">
        <f t="shared" si="150"/>
        <v>424.01700318809782</v>
      </c>
      <c r="E157" s="5" t="s">
        <v>1042</v>
      </c>
      <c r="F157" s="5" t="s">
        <v>1043</v>
      </c>
      <c r="G157" s="21" t="s">
        <v>45</v>
      </c>
      <c r="H157" s="105" t="s">
        <v>264</v>
      </c>
      <c r="I157" s="105" t="s">
        <v>264</v>
      </c>
      <c r="J157" s="5" t="s">
        <v>265</v>
      </c>
      <c r="K157" s="3" t="s">
        <v>273</v>
      </c>
      <c r="L157" s="3" t="s">
        <v>267</v>
      </c>
      <c r="M157" s="3" t="s">
        <v>268</v>
      </c>
      <c r="N157" s="161">
        <f>83264/$D157*1.4</f>
        <v>274.9172771929824</v>
      </c>
      <c r="O157" s="11">
        <f t="shared" si="151"/>
        <v>258.69715783859641</v>
      </c>
      <c r="P157" s="5" t="s">
        <v>269</v>
      </c>
      <c r="Q157" s="279"/>
      <c r="R157">
        <v>20</v>
      </c>
      <c r="S157" t="s">
        <v>25</v>
      </c>
      <c r="T157" s="12">
        <f t="shared" si="154"/>
        <v>3.5919234856535601E-2</v>
      </c>
      <c r="U157" s="12">
        <f t="shared" si="155"/>
        <v>3.6683698658588441E-2</v>
      </c>
      <c r="V157" s="11">
        <f t="shared" si="152"/>
        <v>17.869623017543855</v>
      </c>
      <c r="W157" s="13">
        <f t="shared" si="153"/>
        <v>0.12354479298245612</v>
      </c>
      <c r="X157" s="22">
        <f t="shared" si="146"/>
        <v>3.3799999999999997E-2</v>
      </c>
      <c r="Y157" s="160">
        <f t="shared" si="147"/>
        <v>3.4519360437731725E-2</v>
      </c>
      <c r="Z157">
        <f t="shared" si="148"/>
        <v>16.815315259508768</v>
      </c>
      <c r="AA157" s="6">
        <f t="shared" si="149"/>
        <v>0.1162556501964912</v>
      </c>
      <c r="AB157" s="5" t="s">
        <v>274</v>
      </c>
      <c r="AC157" s="232">
        <v>0.94099999999999995</v>
      </c>
    </row>
    <row r="158" spans="2:29" ht="74.400000000000006" customHeight="1" x14ac:dyDescent="0.3">
      <c r="B158" s="111" t="s">
        <v>289</v>
      </c>
      <c r="C158" s="3">
        <v>449</v>
      </c>
      <c r="D158" s="159">
        <f t="shared" si="150"/>
        <v>477.15196599362383</v>
      </c>
      <c r="E158" s="5" t="s">
        <v>1044</v>
      </c>
      <c r="F158" s="5" t="s">
        <v>1045</v>
      </c>
      <c r="G158" s="21" t="s">
        <v>45</v>
      </c>
      <c r="H158" s="105" t="s">
        <v>264</v>
      </c>
      <c r="I158" s="105" t="s">
        <v>264</v>
      </c>
      <c r="J158" s="5" t="s">
        <v>265</v>
      </c>
      <c r="K158" s="3" t="s">
        <v>273</v>
      </c>
      <c r="L158" s="3" t="s">
        <v>267</v>
      </c>
      <c r="M158" s="3" t="s">
        <v>268</v>
      </c>
      <c r="N158" s="161">
        <f>85298/$D158*1.4</f>
        <v>250.27079109131398</v>
      </c>
      <c r="O158" s="11">
        <f t="shared" si="151"/>
        <v>235.50481441692645</v>
      </c>
      <c r="P158" s="5" t="s">
        <v>269</v>
      </c>
      <c r="Q158" s="279"/>
      <c r="R158">
        <v>20</v>
      </c>
      <c r="S158" t="s">
        <v>25</v>
      </c>
      <c r="T158" s="12">
        <f t="shared" si="154"/>
        <v>3.5919234856535601E-2</v>
      </c>
      <c r="U158" s="12">
        <f t="shared" si="155"/>
        <v>3.6615164055507465E-2</v>
      </c>
      <c r="V158" s="11">
        <f t="shared" si="152"/>
        <v>16.26760142093541</v>
      </c>
      <c r="W158" s="13">
        <f t="shared" si="153"/>
        <v>0.11353215800365334</v>
      </c>
      <c r="X158" s="22">
        <f t="shared" si="146"/>
        <v>3.3799999999999997E-2</v>
      </c>
      <c r="Y158" s="160">
        <f t="shared" si="147"/>
        <v>3.4454869376232523E-2</v>
      </c>
      <c r="Z158">
        <f t="shared" si="148"/>
        <v>15.30781293710022</v>
      </c>
      <c r="AA158" s="6">
        <f t="shared" si="149"/>
        <v>0.10683376068143778</v>
      </c>
      <c r="AB158" s="5" t="s">
        <v>274</v>
      </c>
      <c r="AC158" s="232">
        <v>0.94099999999999995</v>
      </c>
    </row>
    <row r="159" spans="2:29" ht="74.400000000000006" customHeight="1" x14ac:dyDescent="0.3">
      <c r="B159" s="111" t="s">
        <v>289</v>
      </c>
      <c r="C159" s="3">
        <v>499</v>
      </c>
      <c r="D159" s="159">
        <f t="shared" si="150"/>
        <v>534.26124197002139</v>
      </c>
      <c r="E159" s="5" t="s">
        <v>1046</v>
      </c>
      <c r="F159" s="5" t="s">
        <v>1047</v>
      </c>
      <c r="G159" s="21" t="s">
        <v>45</v>
      </c>
      <c r="H159" s="105" t="s">
        <v>264</v>
      </c>
      <c r="I159" s="105" t="s">
        <v>264</v>
      </c>
      <c r="J159" s="5" t="s">
        <v>265</v>
      </c>
      <c r="K159" s="3" t="s">
        <v>273</v>
      </c>
      <c r="L159" s="3" t="s">
        <v>267</v>
      </c>
      <c r="M159" s="3" t="s">
        <v>268</v>
      </c>
      <c r="N159" s="161">
        <f>87331/$D159*1.4</f>
        <v>228.84572264529058</v>
      </c>
      <c r="O159" s="11">
        <f t="shared" si="151"/>
        <v>213.74190495070141</v>
      </c>
      <c r="P159" s="5" t="s">
        <v>269</v>
      </c>
      <c r="Q159" s="279"/>
      <c r="R159">
        <v>20</v>
      </c>
      <c r="S159" t="s">
        <v>25</v>
      </c>
      <c r="T159" s="12">
        <f t="shared" si="154"/>
        <v>3.6188436830835113E-2</v>
      </c>
      <c r="U159" s="12">
        <f t="shared" si="155"/>
        <v>3.6824789238378217E-2</v>
      </c>
      <c r="V159" s="11">
        <f t="shared" si="152"/>
        <v>14.874971971943888</v>
      </c>
      <c r="W159" s="13">
        <f t="shared" si="153"/>
        <v>0.10482822394745632</v>
      </c>
      <c r="X159" s="22">
        <f t="shared" si="146"/>
        <v>3.3799999999999997E-2</v>
      </c>
      <c r="Y159" s="160">
        <f t="shared" si="147"/>
        <v>3.4394353148645258E-2</v>
      </c>
      <c r="Z159">
        <f t="shared" si="148"/>
        <v>13.893223821795592</v>
      </c>
      <c r="AA159" s="6">
        <f t="shared" si="149"/>
        <v>9.7909561166924203E-2</v>
      </c>
      <c r="AB159" s="5" t="s">
        <v>274</v>
      </c>
      <c r="AC159" s="232">
        <v>0.93400000000000005</v>
      </c>
    </row>
    <row r="160" spans="2:29" ht="74.400000000000006" customHeight="1" x14ac:dyDescent="0.3">
      <c r="B160" s="111" t="s">
        <v>289</v>
      </c>
      <c r="C160" s="3">
        <v>600</v>
      </c>
      <c r="D160" s="159">
        <f t="shared" si="150"/>
        <v>648.64864864864865</v>
      </c>
      <c r="E160" s="5" t="s">
        <v>1049</v>
      </c>
      <c r="F160" s="5" t="s">
        <v>1048</v>
      </c>
      <c r="G160" s="21" t="s">
        <v>45</v>
      </c>
      <c r="H160" s="105" t="s">
        <v>264</v>
      </c>
      <c r="I160" s="105" t="s">
        <v>264</v>
      </c>
      <c r="J160" s="5" t="s">
        <v>265</v>
      </c>
      <c r="K160" s="3" t="s">
        <v>273</v>
      </c>
      <c r="L160" s="3" t="s">
        <v>267</v>
      </c>
      <c r="M160" s="3" t="s">
        <v>268</v>
      </c>
      <c r="N160" s="161">
        <f>(112805+3408)/$D160*1.4</f>
        <v>250.82639166666667</v>
      </c>
      <c r="O160" s="11">
        <f t="shared" si="151"/>
        <v>232.01441229166667</v>
      </c>
      <c r="P160" s="5" t="s">
        <v>269</v>
      </c>
      <c r="Q160" s="279"/>
      <c r="R160">
        <v>20</v>
      </c>
      <c r="S160" t="s">
        <v>25</v>
      </c>
      <c r="T160" s="12">
        <f t="shared" si="154"/>
        <v>3.6540540540540532E-2</v>
      </c>
      <c r="U160" s="12">
        <f t="shared" si="155"/>
        <v>3.7238014700718886E-2</v>
      </c>
      <c r="V160" s="11">
        <f t="shared" si="152"/>
        <v>16.303715458333333</v>
      </c>
      <c r="W160" s="13">
        <f t="shared" si="153"/>
        <v>0.11375787073739035</v>
      </c>
      <c r="X160" s="22">
        <f t="shared" si="146"/>
        <v>3.3799999999999997E-2</v>
      </c>
      <c r="Y160" s="160">
        <f t="shared" si="147"/>
        <v>3.444516359816497E-2</v>
      </c>
      <c r="Z160">
        <f t="shared" si="148"/>
        <v>15.080936798958334</v>
      </c>
      <c r="AA160" s="6">
        <f t="shared" si="149"/>
        <v>0.10522603043208609</v>
      </c>
      <c r="AB160" s="5" t="s">
        <v>274</v>
      </c>
      <c r="AC160" s="232">
        <v>0.92500000000000004</v>
      </c>
    </row>
    <row r="161" spans="2:29" ht="74.400000000000006" customHeight="1" x14ac:dyDescent="0.3">
      <c r="B161" s="111" t="s">
        <v>289</v>
      </c>
      <c r="C161" s="3">
        <v>800</v>
      </c>
      <c r="D161" s="159">
        <f t="shared" si="150"/>
        <v>858.36909871244632</v>
      </c>
      <c r="E161" s="5" t="s">
        <v>1050</v>
      </c>
      <c r="F161" s="5" t="s">
        <v>1051</v>
      </c>
      <c r="G161" s="21" t="s">
        <v>45</v>
      </c>
      <c r="H161" s="105" t="s">
        <v>264</v>
      </c>
      <c r="I161" s="105" t="s">
        <v>264</v>
      </c>
      <c r="J161" s="5" t="s">
        <v>265</v>
      </c>
      <c r="K161" s="3" t="s">
        <v>273</v>
      </c>
      <c r="L161" s="3" t="s">
        <v>267</v>
      </c>
      <c r="M161" s="3" t="s">
        <v>268</v>
      </c>
      <c r="N161" s="161">
        <f>(144714+3408)/$D161*1.4</f>
        <v>241.58698199999998</v>
      </c>
      <c r="O161" s="11">
        <f t="shared" si="151"/>
        <v>225.15906722399998</v>
      </c>
      <c r="P161" s="5" t="s">
        <v>269</v>
      </c>
      <c r="Q161" s="279"/>
      <c r="R161">
        <v>20</v>
      </c>
      <c r="S161" t="s">
        <v>25</v>
      </c>
      <c r="T161" s="12">
        <f t="shared" si="154"/>
        <v>3.6266094420600851E-2</v>
      </c>
      <c r="U161" s="12">
        <f t="shared" si="155"/>
        <v>3.6937876509641948E-2</v>
      </c>
      <c r="V161" s="11">
        <f t="shared" si="152"/>
        <v>15.70315383</v>
      </c>
      <c r="W161" s="13">
        <f t="shared" si="153"/>
        <v>0.11000436056030702</v>
      </c>
      <c r="X161" s="22">
        <f t="shared" si="146"/>
        <v>3.3799999999999997E-2</v>
      </c>
      <c r="Y161" s="160">
        <f t="shared" si="147"/>
        <v>3.44261009069863E-2</v>
      </c>
      <c r="Z161">
        <f t="shared" si="148"/>
        <v>14.63533936956</v>
      </c>
      <c r="AA161" s="6">
        <f t="shared" si="149"/>
        <v>0.10252406404220615</v>
      </c>
      <c r="AB161" s="5" t="s">
        <v>274</v>
      </c>
      <c r="AC161" s="232">
        <v>0.93200000000000005</v>
      </c>
    </row>
    <row r="162" spans="2:29" ht="74.400000000000006" customHeight="1" x14ac:dyDescent="0.3">
      <c r="B162" s="111" t="s">
        <v>289</v>
      </c>
      <c r="C162" s="3">
        <v>1000</v>
      </c>
      <c r="D162" s="159">
        <f t="shared" si="150"/>
        <v>1097.694840834248</v>
      </c>
      <c r="E162" s="5" t="s">
        <v>1052</v>
      </c>
      <c r="F162" s="5" t="s">
        <v>1053</v>
      </c>
      <c r="G162" s="21" t="s">
        <v>45</v>
      </c>
      <c r="H162" s="105" t="s">
        <v>264</v>
      </c>
      <c r="I162" s="105" t="s">
        <v>264</v>
      </c>
      <c r="J162" s="5" t="s">
        <v>265</v>
      </c>
      <c r="K162" s="3" t="s">
        <v>273</v>
      </c>
      <c r="L162" s="3" t="s">
        <v>267</v>
      </c>
      <c r="M162" s="3" t="s">
        <v>268</v>
      </c>
      <c r="N162" s="161">
        <f>(154188+3473)/$D162*1.4</f>
        <v>201.0808394</v>
      </c>
      <c r="O162" s="11">
        <f t="shared" si="151"/>
        <v>183.1846446934</v>
      </c>
      <c r="P162" s="5" t="s">
        <v>269</v>
      </c>
      <c r="Q162" s="279"/>
      <c r="R162">
        <v>20</v>
      </c>
      <c r="S162" t="s">
        <v>25</v>
      </c>
      <c r="T162" s="12">
        <f t="shared" si="154"/>
        <v>3.7102085620197581E-2</v>
      </c>
      <c r="U162" s="12">
        <f t="shared" si="155"/>
        <v>3.766123208264343E-2</v>
      </c>
      <c r="V162" s="11">
        <f t="shared" si="152"/>
        <v>13.070254561</v>
      </c>
      <c r="W162" s="13">
        <f t="shared" si="153"/>
        <v>9.354874012905702E-2</v>
      </c>
      <c r="X162" s="22">
        <f t="shared" si="146"/>
        <v>3.3799999999999997E-2</v>
      </c>
      <c r="Y162" s="160">
        <f t="shared" si="147"/>
        <v>3.4309382427288163E-2</v>
      </c>
      <c r="Z162">
        <f t="shared" si="148"/>
        <v>11.907001905071001</v>
      </c>
      <c r="AA162" s="6">
        <f t="shared" si="149"/>
        <v>8.5222902257570954E-2</v>
      </c>
      <c r="AB162" s="5" t="s">
        <v>274</v>
      </c>
      <c r="AC162" s="232">
        <v>0.91100000000000003</v>
      </c>
    </row>
    <row r="163" spans="2:29" ht="74.400000000000006" customHeight="1" x14ac:dyDescent="0.3">
      <c r="B163" s="111" t="s">
        <v>289</v>
      </c>
      <c r="C163" s="3">
        <v>1250</v>
      </c>
      <c r="D163" s="159">
        <f t="shared" si="150"/>
        <v>1338.3297644539614</v>
      </c>
      <c r="E163" s="5" t="s">
        <v>1054</v>
      </c>
      <c r="F163" s="5" t="s">
        <v>1055</v>
      </c>
      <c r="G163" s="21" t="s">
        <v>45</v>
      </c>
      <c r="H163" s="105" t="s">
        <v>264</v>
      </c>
      <c r="I163" s="105" t="s">
        <v>264</v>
      </c>
      <c r="J163" s="5" t="s">
        <v>265</v>
      </c>
      <c r="K163" s="3" t="s">
        <v>273</v>
      </c>
      <c r="L163" s="3" t="s">
        <v>267</v>
      </c>
      <c r="M163" s="3" t="s">
        <v>268</v>
      </c>
      <c r="N163" s="161">
        <f>(160993+3538)/$D163*1.4</f>
        <v>172.11258848</v>
      </c>
      <c r="O163" s="11">
        <f t="shared" si="151"/>
        <v>160.75315764032001</v>
      </c>
      <c r="P163" s="5" t="s">
        <v>269</v>
      </c>
      <c r="Q163" s="279"/>
      <c r="R163">
        <v>20</v>
      </c>
      <c r="S163" t="s">
        <v>25</v>
      </c>
      <c r="T163" s="12">
        <f t="shared" si="154"/>
        <v>3.6188436830835113E-2</v>
      </c>
      <c r="U163" s="12">
        <f t="shared" si="155"/>
        <v>3.6667031137871758E-2</v>
      </c>
      <c r="V163" s="11">
        <f t="shared" si="152"/>
        <v>11.187318251200001</v>
      </c>
      <c r="W163" s="13">
        <f t="shared" si="153"/>
        <v>8.1780388192807016E-2</v>
      </c>
      <c r="X163" s="22">
        <f t="shared" si="146"/>
        <v>3.3799999999999997E-2</v>
      </c>
      <c r="Y163" s="160">
        <f t="shared" si="147"/>
        <v>3.4247007082772223E-2</v>
      </c>
      <c r="Z163">
        <f t="shared" si="148"/>
        <v>10.448955246620802</v>
      </c>
      <c r="AA163" s="6">
        <f t="shared" si="149"/>
        <v>7.6382882572081756E-2</v>
      </c>
      <c r="AB163" s="5" t="s">
        <v>274</v>
      </c>
      <c r="AC163" s="232">
        <v>0.93400000000000005</v>
      </c>
    </row>
    <row r="164" spans="2:29" ht="74.400000000000006" customHeight="1" x14ac:dyDescent="0.3">
      <c r="B164" s="112" t="s">
        <v>289</v>
      </c>
      <c r="C164" s="30">
        <v>1500</v>
      </c>
      <c r="D164" s="176">
        <f t="shared" si="150"/>
        <v>1619.8704103671705</v>
      </c>
      <c r="E164" s="32" t="s">
        <v>1056</v>
      </c>
      <c r="F164" s="32" t="s">
        <v>1057</v>
      </c>
      <c r="G164" s="43" t="s">
        <v>45</v>
      </c>
      <c r="H164" s="106" t="s">
        <v>264</v>
      </c>
      <c r="I164" s="106" t="s">
        <v>264</v>
      </c>
      <c r="J164" s="32" t="s">
        <v>265</v>
      </c>
      <c r="K164" s="30" t="s">
        <v>273</v>
      </c>
      <c r="L164" s="30" t="s">
        <v>267</v>
      </c>
      <c r="M164" s="30" t="s">
        <v>268</v>
      </c>
      <c r="N164" s="201">
        <f>(178908+3538)/$D164*1.4</f>
        <v>157.68199626666666</v>
      </c>
      <c r="O164" s="60">
        <f t="shared" si="151"/>
        <v>146.01352854293333</v>
      </c>
      <c r="P164" s="32" t="s">
        <v>269</v>
      </c>
      <c r="Q164" s="280"/>
      <c r="R164" s="35">
        <v>20</v>
      </c>
      <c r="S164" s="35" t="s">
        <v>25</v>
      </c>
      <c r="T164" s="164">
        <f t="shared" si="154"/>
        <v>3.6501079913606904E-2</v>
      </c>
      <c r="U164" s="164">
        <f t="shared" si="155"/>
        <v>3.6939547003096818E-2</v>
      </c>
      <c r="V164" s="60">
        <f t="shared" si="152"/>
        <v>10.249329757333333</v>
      </c>
      <c r="W164" s="64">
        <f t="shared" si="153"/>
        <v>7.5917960106140353E-2</v>
      </c>
      <c r="X164" s="44">
        <f t="shared" si="146"/>
        <v>3.3799999999999997E-2</v>
      </c>
      <c r="Y164" s="177">
        <f t="shared" si="147"/>
        <v>3.4206020524867653E-2</v>
      </c>
      <c r="Z164" s="35">
        <f t="shared" si="148"/>
        <v>9.4908793552906676</v>
      </c>
      <c r="AA164" s="41">
        <f t="shared" si="149"/>
        <v>7.0300031058285972E-2</v>
      </c>
      <c r="AB164" s="32" t="s">
        <v>274</v>
      </c>
      <c r="AC164" s="233">
        <v>0.92600000000000005</v>
      </c>
    </row>
    <row r="165" spans="2:29" ht="86.4" x14ac:dyDescent="0.3">
      <c r="B165" s="208" t="s">
        <v>290</v>
      </c>
      <c r="C165" s="179">
        <v>10</v>
      </c>
      <c r="D165" s="180">
        <f t="shared" si="150"/>
        <v>10.79913606911447</v>
      </c>
      <c r="E165" s="5" t="s">
        <v>1058</v>
      </c>
      <c r="F165" s="5" t="s">
        <v>1059</v>
      </c>
      <c r="G165" s="182" t="s">
        <v>45</v>
      </c>
      <c r="H165" s="209" t="s">
        <v>264</v>
      </c>
      <c r="I165" s="209" t="s">
        <v>264</v>
      </c>
      <c r="J165" s="181" t="s">
        <v>265</v>
      </c>
      <c r="K165" s="179" t="s">
        <v>273</v>
      </c>
      <c r="L165" s="179" t="s">
        <v>267</v>
      </c>
      <c r="M165" s="179" t="s">
        <v>268</v>
      </c>
      <c r="N165" s="196">
        <f>7565/$D165*1.4</f>
        <v>980.72660000000008</v>
      </c>
      <c r="O165" s="192">
        <f t="shared" si="151"/>
        <v>908.15283160000013</v>
      </c>
      <c r="P165" s="181" t="s">
        <v>269</v>
      </c>
      <c r="Q165" s="276" t="s">
        <v>287</v>
      </c>
      <c r="R165" s="186">
        <v>20</v>
      </c>
      <c r="S165" s="186" t="s">
        <v>25</v>
      </c>
      <c r="T165" s="12">
        <f>0.0564/AC165</f>
        <v>6.0907127429805613E-2</v>
      </c>
      <c r="U165" s="197">
        <f t="shared" ref="U165:U170" si="156">$N165*36%/(8760*29%*20)+$T165</f>
        <v>6.785606413268705E-2</v>
      </c>
      <c r="V165" s="192">
        <f t="shared" ref="V165:V175" si="157">6%*$N165</f>
        <v>58.843596000000005</v>
      </c>
      <c r="W165" s="188">
        <f t="shared" ref="W165:W175" si="158">(1/3/0.95*0.0564+$V165*0.4/64)</f>
        <v>0.38756194868421057</v>
      </c>
      <c r="X165" s="188">
        <f t="shared" ref="X165:X181" si="159">T165*AC165</f>
        <v>5.6399999999999999E-2</v>
      </c>
      <c r="Y165" s="185">
        <f t="shared" ref="Y165:Y182" si="160">U165*AC165</f>
        <v>6.2834715386868217E-2</v>
      </c>
      <c r="Z165" s="186">
        <f t="shared" ref="Z165:Z182" si="161">V165*AC165</f>
        <v>54.489169896000007</v>
      </c>
      <c r="AA165" s="187">
        <f t="shared" ref="AA165:AA181" si="162">W165*AC165</f>
        <v>0.35888236448157901</v>
      </c>
      <c r="AB165" s="181" t="s">
        <v>288</v>
      </c>
      <c r="AC165" s="231">
        <v>0.92600000000000005</v>
      </c>
    </row>
    <row r="166" spans="2:29" ht="86.4" x14ac:dyDescent="0.3">
      <c r="B166" s="111" t="s">
        <v>290</v>
      </c>
      <c r="C166" s="3">
        <v>14</v>
      </c>
      <c r="D166" s="159">
        <f t="shared" si="150"/>
        <v>15.118790496760258</v>
      </c>
      <c r="E166" s="5" t="s">
        <v>1060</v>
      </c>
      <c r="F166" s="5" t="s">
        <v>1061</v>
      </c>
      <c r="G166" s="21" t="s">
        <v>45</v>
      </c>
      <c r="H166" s="105" t="s">
        <v>264</v>
      </c>
      <c r="I166" s="105" t="s">
        <v>264</v>
      </c>
      <c r="J166" s="5" t="s">
        <v>265</v>
      </c>
      <c r="K166" s="3" t="s">
        <v>273</v>
      </c>
      <c r="L166" s="3" t="s">
        <v>267</v>
      </c>
      <c r="M166" s="3" t="s">
        <v>268</v>
      </c>
      <c r="N166" s="161">
        <f>7995/$D166*1.4</f>
        <v>740.3370000000001</v>
      </c>
      <c r="O166" s="11">
        <f t="shared" si="151"/>
        <v>685.55206200000009</v>
      </c>
      <c r="P166" s="5" t="s">
        <v>269</v>
      </c>
      <c r="Q166" s="277"/>
      <c r="R166">
        <v>20</v>
      </c>
      <c r="S166" t="s">
        <v>25</v>
      </c>
      <c r="T166" s="12">
        <f t="shared" ref="T166:T175" si="163">0.0564/AC166</f>
        <v>6.0907127429805613E-2</v>
      </c>
      <c r="U166" s="12">
        <f t="shared" si="156"/>
        <v>6.615278401931908E-2</v>
      </c>
      <c r="V166" s="11">
        <f t="shared" si="157"/>
        <v>44.420220000000008</v>
      </c>
      <c r="W166" s="22">
        <f t="shared" si="158"/>
        <v>0.29741584868421056</v>
      </c>
      <c r="X166" s="22">
        <f t="shared" si="159"/>
        <v>5.6399999999999999E-2</v>
      </c>
      <c r="Y166" s="160">
        <f t="shared" si="160"/>
        <v>6.1257478001889472E-2</v>
      </c>
      <c r="Z166">
        <f t="shared" si="161"/>
        <v>41.133123720000007</v>
      </c>
      <c r="AA166" s="6">
        <f t="shared" si="162"/>
        <v>0.27540707588157898</v>
      </c>
      <c r="AB166" s="5" t="s">
        <v>288</v>
      </c>
      <c r="AC166" s="232">
        <v>0.92600000000000005</v>
      </c>
    </row>
    <row r="167" spans="2:29" ht="86.4" x14ac:dyDescent="0.3">
      <c r="B167" s="111" t="s">
        <v>290</v>
      </c>
      <c r="C167" s="3">
        <v>18</v>
      </c>
      <c r="D167" s="159">
        <f t="shared" si="150"/>
        <v>19.35483870967742</v>
      </c>
      <c r="E167" s="5" t="s">
        <v>1062</v>
      </c>
      <c r="F167" s="5" t="s">
        <v>1063</v>
      </c>
      <c r="G167" s="21" t="s">
        <v>45</v>
      </c>
      <c r="H167" s="105" t="s">
        <v>264</v>
      </c>
      <c r="I167" s="105" t="s">
        <v>264</v>
      </c>
      <c r="J167" s="5" t="s">
        <v>265</v>
      </c>
      <c r="K167" s="3" t="s">
        <v>273</v>
      </c>
      <c r="L167" s="3" t="s">
        <v>267</v>
      </c>
      <c r="M167" s="3" t="s">
        <v>268</v>
      </c>
      <c r="N167" s="161">
        <f>8317/$D167*1.4</f>
        <v>601.59633333333329</v>
      </c>
      <c r="O167" s="11">
        <f t="shared" si="151"/>
        <v>559.48459000000003</v>
      </c>
      <c r="P167" s="5" t="s">
        <v>269</v>
      </c>
      <c r="Q167" s="277"/>
      <c r="R167">
        <v>20</v>
      </c>
      <c r="S167" t="s">
        <v>25</v>
      </c>
      <c r="T167" s="12">
        <f t="shared" si="163"/>
        <v>6.0645161290322575E-2</v>
      </c>
      <c r="U167" s="12">
        <f t="shared" si="156"/>
        <v>6.490777111554695E-2</v>
      </c>
      <c r="V167" s="11">
        <f t="shared" si="157"/>
        <v>36.095779999999998</v>
      </c>
      <c r="W167" s="22">
        <f t="shared" si="158"/>
        <v>0.24538809868421052</v>
      </c>
      <c r="X167" s="22">
        <f t="shared" si="159"/>
        <v>5.6399999999999999E-2</v>
      </c>
      <c r="Y167" s="160">
        <f t="shared" si="160"/>
        <v>6.0364227137458669E-2</v>
      </c>
      <c r="Z167">
        <f t="shared" si="161"/>
        <v>33.569075400000003</v>
      </c>
      <c r="AA167" s="6">
        <f t="shared" si="162"/>
        <v>0.2282109317763158</v>
      </c>
      <c r="AB167" s="5" t="s">
        <v>288</v>
      </c>
      <c r="AC167" s="232">
        <v>0.93</v>
      </c>
    </row>
    <row r="168" spans="2:29" ht="86.4" x14ac:dyDescent="0.3">
      <c r="B168" s="111" t="s">
        <v>290</v>
      </c>
      <c r="C168" s="3">
        <v>20</v>
      </c>
      <c r="D168" s="159">
        <f t="shared" si="150"/>
        <v>21.528525296017222</v>
      </c>
      <c r="E168" s="5" t="s">
        <v>1064</v>
      </c>
      <c r="F168" s="5" t="s">
        <v>1065</v>
      </c>
      <c r="G168" s="21" t="s">
        <v>45</v>
      </c>
      <c r="H168" s="105" t="s">
        <v>264</v>
      </c>
      <c r="I168" s="105" t="s">
        <v>264</v>
      </c>
      <c r="J168" s="5" t="s">
        <v>265</v>
      </c>
      <c r="K168" s="3" t="s">
        <v>273</v>
      </c>
      <c r="L168" s="3" t="s">
        <v>267</v>
      </c>
      <c r="M168" s="3" t="s">
        <v>268</v>
      </c>
      <c r="N168" s="161">
        <f>9390/$D168*1.4</f>
        <v>610.63170000000002</v>
      </c>
      <c r="O168" s="11">
        <f t="shared" si="151"/>
        <v>567.27684930000009</v>
      </c>
      <c r="P168" s="5" t="s">
        <v>269</v>
      </c>
      <c r="Q168" s="277"/>
      <c r="R168">
        <v>20</v>
      </c>
      <c r="S168" t="s">
        <v>25</v>
      </c>
      <c r="T168" s="12">
        <f t="shared" si="163"/>
        <v>6.0710441334768564E-2</v>
      </c>
      <c r="U168" s="12">
        <f t="shared" si="156"/>
        <v>6.5037071235571592E-2</v>
      </c>
      <c r="V168" s="11">
        <f t="shared" si="157"/>
        <v>36.637901999999997</v>
      </c>
      <c r="W168" s="22">
        <f t="shared" si="158"/>
        <v>0.24877636118421051</v>
      </c>
      <c r="X168" s="22">
        <f t="shared" si="159"/>
        <v>5.6399999999999999E-2</v>
      </c>
      <c r="Y168" s="160">
        <f t="shared" si="160"/>
        <v>6.0419439177846014E-2</v>
      </c>
      <c r="Z168">
        <f t="shared" si="161"/>
        <v>34.036610957999997</v>
      </c>
      <c r="AA168" s="6">
        <f t="shared" si="162"/>
        <v>0.23111323954013158</v>
      </c>
      <c r="AB168" s="5" t="s">
        <v>457</v>
      </c>
      <c r="AC168" s="232">
        <v>0.92900000000000005</v>
      </c>
    </row>
    <row r="169" spans="2:29" ht="86.4" x14ac:dyDescent="0.3">
      <c r="B169" s="111" t="s">
        <v>290</v>
      </c>
      <c r="C169" s="3">
        <v>30</v>
      </c>
      <c r="D169" s="159">
        <f t="shared" si="150"/>
        <v>32.292787944025832</v>
      </c>
      <c r="E169" s="5" t="s">
        <v>1066</v>
      </c>
      <c r="F169" s="5" t="s">
        <v>1067</v>
      </c>
      <c r="G169" s="21" t="s">
        <v>45</v>
      </c>
      <c r="H169" s="105" t="s">
        <v>264</v>
      </c>
      <c r="I169" s="105" t="s">
        <v>264</v>
      </c>
      <c r="J169" s="5" t="s">
        <v>265</v>
      </c>
      <c r="K169" s="3" t="s">
        <v>273</v>
      </c>
      <c r="L169" s="3" t="s">
        <v>267</v>
      </c>
      <c r="M169" s="3" t="s">
        <v>268</v>
      </c>
      <c r="N169" s="161">
        <f>10161/$D169*1.4</f>
        <v>440.51321999999999</v>
      </c>
      <c r="O169" s="11">
        <f t="shared" si="151"/>
        <v>409.23678138000002</v>
      </c>
      <c r="P169" s="5" t="s">
        <v>269</v>
      </c>
      <c r="Q169" s="277"/>
      <c r="R169">
        <v>20</v>
      </c>
      <c r="S169" t="s">
        <v>25</v>
      </c>
      <c r="T169" s="12">
        <f t="shared" si="163"/>
        <v>6.0710441334768564E-2</v>
      </c>
      <c r="U169" s="12">
        <f t="shared" si="156"/>
        <v>6.3831697026785567E-2</v>
      </c>
      <c r="V169" s="11">
        <f t="shared" si="157"/>
        <v>26.4307932</v>
      </c>
      <c r="W169" s="22">
        <f t="shared" si="158"/>
        <v>0.18498193118421052</v>
      </c>
      <c r="X169" s="22">
        <f t="shared" si="159"/>
        <v>5.6399999999999999E-2</v>
      </c>
      <c r="Y169" s="160">
        <f t="shared" si="160"/>
        <v>5.9299646537883798E-2</v>
      </c>
      <c r="Z169">
        <f t="shared" si="161"/>
        <v>24.554206882800003</v>
      </c>
      <c r="AA169" s="6">
        <f t="shared" si="162"/>
        <v>0.17184821407013159</v>
      </c>
      <c r="AB169" s="5" t="s">
        <v>457</v>
      </c>
      <c r="AC169" s="232">
        <v>0.92900000000000005</v>
      </c>
    </row>
    <row r="170" spans="2:29" ht="86.4" x14ac:dyDescent="0.3">
      <c r="B170" s="111" t="s">
        <v>290</v>
      </c>
      <c r="C170" s="3">
        <v>45</v>
      </c>
      <c r="D170" s="159">
        <f t="shared" si="150"/>
        <v>46.680497925311208</v>
      </c>
      <c r="E170" s="5" t="s">
        <v>1068</v>
      </c>
      <c r="F170" s="5" t="s">
        <v>1069</v>
      </c>
      <c r="G170" s="21" t="s">
        <v>45</v>
      </c>
      <c r="H170" s="105" t="s">
        <v>264</v>
      </c>
      <c r="I170" s="105" t="s">
        <v>264</v>
      </c>
      <c r="J170" s="5" t="s">
        <v>265</v>
      </c>
      <c r="K170" s="3" t="s">
        <v>273</v>
      </c>
      <c r="L170" s="3" t="s">
        <v>267</v>
      </c>
      <c r="M170" s="3" t="s">
        <v>268</v>
      </c>
      <c r="N170" s="161">
        <f>15098/$D170*1.4</f>
        <v>452.80579555555545</v>
      </c>
      <c r="O170" s="11">
        <f t="shared" si="151"/>
        <v>436.50478691555543</v>
      </c>
      <c r="P170" s="5" t="s">
        <v>269</v>
      </c>
      <c r="Q170" s="277"/>
      <c r="R170">
        <v>20</v>
      </c>
      <c r="S170" t="s">
        <v>25</v>
      </c>
      <c r="T170" s="12">
        <f t="shared" si="163"/>
        <v>5.8506224066390042E-2</v>
      </c>
      <c r="U170" s="12">
        <f t="shared" si="156"/>
        <v>6.1714578782182831E-2</v>
      </c>
      <c r="V170" s="11">
        <f t="shared" si="157"/>
        <v>27.168347733333327</v>
      </c>
      <c r="W170" s="22">
        <f t="shared" si="158"/>
        <v>0.18959164701754383</v>
      </c>
      <c r="X170" s="22">
        <f t="shared" si="159"/>
        <v>5.6399999999999999E-2</v>
      </c>
      <c r="Y170" s="160">
        <f t="shared" si="160"/>
        <v>5.949285394602425E-2</v>
      </c>
      <c r="Z170">
        <f t="shared" si="161"/>
        <v>26.190287214933328</v>
      </c>
      <c r="AA170" s="6">
        <f t="shared" si="162"/>
        <v>0.18276634772491224</v>
      </c>
      <c r="AB170" s="5" t="s">
        <v>288</v>
      </c>
      <c r="AC170" s="232">
        <v>0.96399999999999997</v>
      </c>
    </row>
    <row r="171" spans="2:29" ht="86.4" x14ac:dyDescent="0.3">
      <c r="B171" s="111" t="s">
        <v>290</v>
      </c>
      <c r="C171" s="3">
        <v>60</v>
      </c>
      <c r="D171" s="159">
        <f t="shared" si="150"/>
        <v>62.434963579604577</v>
      </c>
      <c r="E171" s="5" t="s">
        <v>1070</v>
      </c>
      <c r="F171" s="5" t="s">
        <v>1071</v>
      </c>
      <c r="G171" s="21" t="s">
        <v>45</v>
      </c>
      <c r="H171" s="105" t="s">
        <v>264</v>
      </c>
      <c r="I171" s="105" t="s">
        <v>264</v>
      </c>
      <c r="J171" s="5" t="s">
        <v>265</v>
      </c>
      <c r="K171" s="3" t="s">
        <v>273</v>
      </c>
      <c r="L171" s="3" t="s">
        <v>267</v>
      </c>
      <c r="M171" s="3" t="s">
        <v>268</v>
      </c>
      <c r="N171" s="161">
        <f>15765/$D171*1.4</f>
        <v>353.50384999999994</v>
      </c>
      <c r="O171" s="11">
        <f t="shared" si="151"/>
        <v>339.71719984999993</v>
      </c>
      <c r="P171" s="5" t="s">
        <v>269</v>
      </c>
      <c r="Q171" s="277"/>
      <c r="R171">
        <v>20</v>
      </c>
      <c r="S171" t="s">
        <v>25</v>
      </c>
      <c r="T171" s="12">
        <f t="shared" si="163"/>
        <v>5.8688865764828305E-2</v>
      </c>
      <c r="U171" s="12">
        <f>$N171*36%/(8760*78%*20)+$T171</f>
        <v>5.9620119321203438E-2</v>
      </c>
      <c r="V171" s="11">
        <f t="shared" si="157"/>
        <v>21.210230999999997</v>
      </c>
      <c r="W171" s="22">
        <f t="shared" si="158"/>
        <v>0.15235341743421052</v>
      </c>
      <c r="X171" s="22">
        <f t="shared" si="159"/>
        <v>5.6399999999999999E-2</v>
      </c>
      <c r="Y171" s="160">
        <f t="shared" si="160"/>
        <v>5.7294934667676503E-2</v>
      </c>
      <c r="Z171">
        <f t="shared" si="161"/>
        <v>20.383031990999996</v>
      </c>
      <c r="AA171" s="6">
        <f t="shared" si="162"/>
        <v>0.1464116341542763</v>
      </c>
      <c r="AB171" s="5" t="s">
        <v>288</v>
      </c>
      <c r="AC171" s="232">
        <v>0.96099999999999997</v>
      </c>
    </row>
    <row r="172" spans="2:29" ht="86.4" x14ac:dyDescent="0.3">
      <c r="B172" s="111" t="s">
        <v>290</v>
      </c>
      <c r="C172" s="3">
        <v>70</v>
      </c>
      <c r="D172" s="159">
        <f t="shared" si="150"/>
        <v>72.916666666666671</v>
      </c>
      <c r="E172" s="5" t="s">
        <v>1072</v>
      </c>
      <c r="F172" s="5" t="s">
        <v>1073</v>
      </c>
      <c r="G172" s="21" t="s">
        <v>45</v>
      </c>
      <c r="H172" s="105" t="s">
        <v>264</v>
      </c>
      <c r="I172" s="105" t="s">
        <v>264</v>
      </c>
      <c r="J172" s="5" t="s">
        <v>265</v>
      </c>
      <c r="K172" s="3" t="s">
        <v>273</v>
      </c>
      <c r="L172" s="3" t="s">
        <v>267</v>
      </c>
      <c r="M172" s="3" t="s">
        <v>268</v>
      </c>
      <c r="N172" s="161">
        <f>19049/$D172*1.4</f>
        <v>365.74079999999998</v>
      </c>
      <c r="O172" s="11">
        <f t="shared" si="151"/>
        <v>351.11116799999996</v>
      </c>
      <c r="P172" s="5" t="s">
        <v>269</v>
      </c>
      <c r="Q172" s="277"/>
      <c r="R172">
        <v>20</v>
      </c>
      <c r="S172" t="s">
        <v>25</v>
      </c>
      <c r="T172" s="12">
        <f t="shared" si="163"/>
        <v>5.8750000000000004E-2</v>
      </c>
      <c r="U172" s="12">
        <f>$N172*36%/(8760*78%*20)+$T172</f>
        <v>5.9713489989462597E-2</v>
      </c>
      <c r="V172" s="11">
        <f t="shared" si="157"/>
        <v>21.944447999999998</v>
      </c>
      <c r="W172" s="22">
        <f t="shared" si="158"/>
        <v>0.15694227368421051</v>
      </c>
      <c r="X172" s="22">
        <f t="shared" si="159"/>
        <v>5.6399999999999999E-2</v>
      </c>
      <c r="Y172" s="160">
        <f t="shared" si="160"/>
        <v>5.732495038988409E-2</v>
      </c>
      <c r="Z172">
        <f t="shared" si="161"/>
        <v>21.066670079999998</v>
      </c>
      <c r="AA172" s="6">
        <f t="shared" si="162"/>
        <v>0.15066458273684208</v>
      </c>
      <c r="AB172" s="5" t="s">
        <v>457</v>
      </c>
      <c r="AC172" s="232">
        <v>0.96</v>
      </c>
    </row>
    <row r="173" spans="2:29" ht="86.4" x14ac:dyDescent="0.3">
      <c r="B173" s="111" t="s">
        <v>290</v>
      </c>
      <c r="C173" s="3">
        <v>80</v>
      </c>
      <c r="D173" s="159">
        <f t="shared" si="150"/>
        <v>83.507306889352819</v>
      </c>
      <c r="E173" s="5" t="s">
        <v>1074</v>
      </c>
      <c r="F173" s="5" t="s">
        <v>1075</v>
      </c>
      <c r="G173" s="21" t="s">
        <v>45</v>
      </c>
      <c r="H173" s="105" t="s">
        <v>264</v>
      </c>
      <c r="I173" s="105" t="s">
        <v>264</v>
      </c>
      <c r="J173" s="5" t="s">
        <v>265</v>
      </c>
      <c r="K173" s="3" t="s">
        <v>273</v>
      </c>
      <c r="L173" s="3" t="s">
        <v>267</v>
      </c>
      <c r="M173" s="3" t="s">
        <v>268</v>
      </c>
      <c r="N173" s="161">
        <f>20089/$D173*1.4</f>
        <v>336.79208499999999</v>
      </c>
      <c r="O173" s="11">
        <f t="shared" si="151"/>
        <v>322.64681743</v>
      </c>
      <c r="P173" s="5" t="s">
        <v>269</v>
      </c>
      <c r="Q173" s="277"/>
      <c r="R173">
        <v>20</v>
      </c>
      <c r="S173" t="s">
        <v>25</v>
      </c>
      <c r="T173" s="12">
        <f t="shared" si="163"/>
        <v>5.8872651356993738E-2</v>
      </c>
      <c r="U173" s="12">
        <f>$N173*36%/(8760*78%*20)+$T173</f>
        <v>5.9759880242662863E-2</v>
      </c>
      <c r="V173" s="11">
        <f t="shared" si="157"/>
        <v>20.207525099999998</v>
      </c>
      <c r="W173" s="22">
        <f t="shared" si="158"/>
        <v>0.14608650555921052</v>
      </c>
      <c r="X173" s="22">
        <f t="shared" si="159"/>
        <v>5.6399999999999999E-2</v>
      </c>
      <c r="Y173" s="160">
        <f t="shared" si="160"/>
        <v>5.7249965272471018E-2</v>
      </c>
      <c r="Z173">
        <f t="shared" si="161"/>
        <v>19.358809045799998</v>
      </c>
      <c r="AA173" s="6">
        <f t="shared" si="162"/>
        <v>0.13995087232572367</v>
      </c>
      <c r="AB173" s="5" t="s">
        <v>457</v>
      </c>
      <c r="AC173" s="232">
        <v>0.95799999999999996</v>
      </c>
    </row>
    <row r="174" spans="2:29" ht="86.4" x14ac:dyDescent="0.3">
      <c r="B174" s="111" t="s">
        <v>290</v>
      </c>
      <c r="C174" s="3">
        <v>99</v>
      </c>
      <c r="D174" s="159">
        <f t="shared" si="150"/>
        <v>103.34029227557411</v>
      </c>
      <c r="E174" s="5" t="s">
        <v>1076</v>
      </c>
      <c r="F174" s="5" t="s">
        <v>1077</v>
      </c>
      <c r="G174" s="21" t="s">
        <v>45</v>
      </c>
      <c r="H174" s="105" t="s">
        <v>264</v>
      </c>
      <c r="I174" s="105" t="s">
        <v>264</v>
      </c>
      <c r="J174" s="5" t="s">
        <v>265</v>
      </c>
      <c r="K174" s="3" t="s">
        <v>273</v>
      </c>
      <c r="L174" s="3" t="s">
        <v>267</v>
      </c>
      <c r="M174" s="3" t="s">
        <v>268</v>
      </c>
      <c r="N174" s="161">
        <f>21698/$D174*1.4</f>
        <v>293.95310707070706</v>
      </c>
      <c r="O174" s="11">
        <f t="shared" si="151"/>
        <v>281.60707657373734</v>
      </c>
      <c r="P174" s="5" t="s">
        <v>269</v>
      </c>
      <c r="Q174" s="277"/>
      <c r="R174">
        <v>20</v>
      </c>
      <c r="S174" t="s">
        <v>25</v>
      </c>
      <c r="T174" s="12">
        <f t="shared" si="163"/>
        <v>5.8872651356993738E-2</v>
      </c>
      <c r="U174" s="12">
        <f>$N174*36%/(8760*78%*20)+$T174</f>
        <v>5.9647027297643651E-2</v>
      </c>
      <c r="V174" s="11">
        <f t="shared" si="157"/>
        <v>17.637186424242422</v>
      </c>
      <c r="W174" s="22">
        <f t="shared" si="158"/>
        <v>0.13002188883572569</v>
      </c>
      <c r="X174" s="22">
        <f t="shared" si="159"/>
        <v>5.6399999999999999E-2</v>
      </c>
      <c r="Y174" s="160">
        <f t="shared" si="160"/>
        <v>5.7141852151142612E-2</v>
      </c>
      <c r="Z174">
        <f t="shared" si="161"/>
        <v>16.896424594424239</v>
      </c>
      <c r="AA174" s="6">
        <f t="shared" si="162"/>
        <v>0.1245609695046252</v>
      </c>
      <c r="AB174" s="5" t="s">
        <v>457</v>
      </c>
      <c r="AC174" s="232">
        <v>0.95799999999999996</v>
      </c>
    </row>
    <row r="175" spans="2:29" ht="86.4" x14ac:dyDescent="0.3">
      <c r="B175" s="112" t="s">
        <v>290</v>
      </c>
      <c r="C175" s="30">
        <v>105</v>
      </c>
      <c r="D175" s="176">
        <f t="shared" si="150"/>
        <v>109.60334029227558</v>
      </c>
      <c r="E175" s="32" t="s">
        <v>1078</v>
      </c>
      <c r="F175" s="32" t="s">
        <v>1079</v>
      </c>
      <c r="G175" s="43" t="s">
        <v>45</v>
      </c>
      <c r="H175" s="106" t="s">
        <v>264</v>
      </c>
      <c r="I175" s="106" t="s">
        <v>264</v>
      </c>
      <c r="J175" s="32" t="s">
        <v>265</v>
      </c>
      <c r="K175" s="30" t="s">
        <v>273</v>
      </c>
      <c r="L175" s="30" t="s">
        <v>267</v>
      </c>
      <c r="M175" s="30" t="s">
        <v>268</v>
      </c>
      <c r="N175" s="201">
        <f>21800/$D175*1.4</f>
        <v>278.45866666666666</v>
      </c>
      <c r="O175" s="60">
        <f t="shared" si="151"/>
        <v>266.76340266666665</v>
      </c>
      <c r="P175" s="32" t="s">
        <v>269</v>
      </c>
      <c r="Q175" s="278"/>
      <c r="R175" s="35">
        <v>20</v>
      </c>
      <c r="S175" s="35" t="s">
        <v>25</v>
      </c>
      <c r="T175" s="12">
        <f t="shared" si="163"/>
        <v>5.8872651356993738E-2</v>
      </c>
      <c r="U175" s="164">
        <f>$N175*36%/(8760*78%*20)+$T175</f>
        <v>5.9606209488360089E-2</v>
      </c>
      <c r="V175" s="60">
        <f t="shared" si="157"/>
        <v>16.707519999999999</v>
      </c>
      <c r="W175" s="44">
        <f t="shared" si="158"/>
        <v>0.12421147368421052</v>
      </c>
      <c r="X175" s="44">
        <f t="shared" si="159"/>
        <v>5.6399999999999999E-2</v>
      </c>
      <c r="Y175" s="177">
        <f t="shared" si="160"/>
        <v>5.7102748689848964E-2</v>
      </c>
      <c r="Z175" s="35">
        <f t="shared" si="161"/>
        <v>16.005804159999997</v>
      </c>
      <c r="AA175" s="41">
        <f t="shared" si="162"/>
        <v>0.11899459178947368</v>
      </c>
      <c r="AB175" s="32" t="s">
        <v>457</v>
      </c>
      <c r="AC175" s="233">
        <v>0.95799999999999996</v>
      </c>
    </row>
    <row r="176" spans="2:29" ht="72" x14ac:dyDescent="0.3">
      <c r="B176" s="211" t="s">
        <v>299</v>
      </c>
      <c r="C176" s="179">
        <v>1000</v>
      </c>
      <c r="D176" s="180">
        <f t="shared" si="150"/>
        <v>5574.1360089186173</v>
      </c>
      <c r="E176" s="5" t="s">
        <v>1184</v>
      </c>
      <c r="F176" s="5" t="s">
        <v>1185</v>
      </c>
      <c r="G176" s="182" t="s">
        <v>45</v>
      </c>
      <c r="H176" s="184" t="s">
        <v>302</v>
      </c>
      <c r="I176" s="184" t="s">
        <v>302</v>
      </c>
      <c r="J176" s="181" t="s">
        <v>303</v>
      </c>
      <c r="K176" s="181" t="s">
        <v>304</v>
      </c>
      <c r="L176" s="179" t="s">
        <v>305</v>
      </c>
      <c r="M176" s="195" t="s">
        <v>1425</v>
      </c>
      <c r="N176" s="181">
        <v>6000</v>
      </c>
      <c r="O176" s="192">
        <f t="shared" si="151"/>
        <v>1076.4000000000001</v>
      </c>
      <c r="P176" s="181" t="s">
        <v>306</v>
      </c>
      <c r="Q176" s="276" t="s">
        <v>307</v>
      </c>
      <c r="R176" s="186">
        <v>20</v>
      </c>
      <c r="S176" s="186" t="s">
        <v>308</v>
      </c>
      <c r="T176" s="186">
        <v>0</v>
      </c>
      <c r="U176" s="197">
        <f>$N176*72%/(8760*86%*20)+$T176</f>
        <v>2.8671551449506213E-2</v>
      </c>
      <c r="V176" s="186">
        <f>N176*0.025</f>
        <v>150</v>
      </c>
      <c r="W176" s="188">
        <f>(1/4/0.2*0+$V176*0.4/55.5)</f>
        <v>1.0810810810810811</v>
      </c>
      <c r="X176" s="212">
        <f t="shared" si="159"/>
        <v>0</v>
      </c>
      <c r="Y176" s="185">
        <f t="shared" si="160"/>
        <v>5.143676330041415E-3</v>
      </c>
      <c r="Z176" s="186">
        <f t="shared" si="161"/>
        <v>26.91</v>
      </c>
      <c r="AA176" s="187">
        <f t="shared" si="162"/>
        <v>0.19394594594594597</v>
      </c>
      <c r="AB176" s="181" t="s">
        <v>309</v>
      </c>
      <c r="AC176" s="213">
        <v>0.1794</v>
      </c>
    </row>
    <row r="177" spans="1:29" ht="72" x14ac:dyDescent="0.3">
      <c r="B177" s="129" t="s">
        <v>299</v>
      </c>
      <c r="C177" s="3">
        <v>5000</v>
      </c>
      <c r="D177" s="159">
        <f t="shared" si="150"/>
        <v>30321.406913280778</v>
      </c>
      <c r="E177" s="5" t="s">
        <v>1186</v>
      </c>
      <c r="F177" s="5" t="s">
        <v>1187</v>
      </c>
      <c r="G177" s="21" t="s">
        <v>45</v>
      </c>
      <c r="H177" s="4" t="s">
        <v>302</v>
      </c>
      <c r="I177" s="4" t="s">
        <v>302</v>
      </c>
      <c r="J177" s="5" t="s">
        <v>303</v>
      </c>
      <c r="K177" s="5" t="s">
        <v>304</v>
      </c>
      <c r="L177" s="3" t="s">
        <v>305</v>
      </c>
      <c r="M177" s="8" t="s">
        <v>1425</v>
      </c>
      <c r="N177" s="5">
        <v>2300</v>
      </c>
      <c r="O177" s="11">
        <f t="shared" si="151"/>
        <v>379.27</v>
      </c>
      <c r="P177" s="5" t="s">
        <v>306</v>
      </c>
      <c r="Q177" s="277"/>
      <c r="R177">
        <v>20</v>
      </c>
      <c r="S177" t="s">
        <v>308</v>
      </c>
      <c r="T177" s="214">
        <v>0</v>
      </c>
      <c r="U177" s="12">
        <f>$N177*72%/(8760*86%*20)+$T177</f>
        <v>1.0990761388977381E-2</v>
      </c>
      <c r="V177">
        <f>N177*2%</f>
        <v>46</v>
      </c>
      <c r="W177" s="22">
        <f>(1/4/0.2*0+$V177*0.4/55.5)</f>
        <v>0.33153153153153159</v>
      </c>
      <c r="X177" s="117">
        <f t="shared" si="159"/>
        <v>0</v>
      </c>
      <c r="Y177" s="160">
        <f t="shared" si="160"/>
        <v>1.81237655304237E-3</v>
      </c>
      <c r="Z177">
        <f t="shared" si="161"/>
        <v>7.5853999999999999</v>
      </c>
      <c r="AA177" s="6">
        <f t="shared" si="162"/>
        <v>5.4669549549549556E-2</v>
      </c>
      <c r="AB177" s="5" t="s">
        <v>309</v>
      </c>
      <c r="AC177" s="118">
        <v>0.16489999999999999</v>
      </c>
    </row>
    <row r="178" spans="1:29" ht="72" x14ac:dyDescent="0.3">
      <c r="B178" s="130" t="s">
        <v>299</v>
      </c>
      <c r="C178" s="30">
        <v>10000</v>
      </c>
      <c r="D178" s="176">
        <f t="shared" si="150"/>
        <v>60642.813826561556</v>
      </c>
      <c r="E178" s="32" t="s">
        <v>1188</v>
      </c>
      <c r="F178" s="32" t="s">
        <v>1189</v>
      </c>
      <c r="G178" s="43" t="s">
        <v>45</v>
      </c>
      <c r="H178" s="34" t="s">
        <v>302</v>
      </c>
      <c r="I178" s="34" t="s">
        <v>302</v>
      </c>
      <c r="J178" s="32" t="s">
        <v>303</v>
      </c>
      <c r="K178" s="32" t="s">
        <v>304</v>
      </c>
      <c r="L178" s="30" t="s">
        <v>305</v>
      </c>
      <c r="M178" s="76" t="s">
        <v>1425</v>
      </c>
      <c r="N178" s="32">
        <v>1500</v>
      </c>
      <c r="O178" s="60">
        <f t="shared" si="151"/>
        <v>247.35</v>
      </c>
      <c r="P178" s="32" t="s">
        <v>306</v>
      </c>
      <c r="Q178" s="278"/>
      <c r="R178" s="35">
        <v>20</v>
      </c>
      <c r="S178" s="35" t="s">
        <v>308</v>
      </c>
      <c r="T178" s="71">
        <v>0</v>
      </c>
      <c r="U178" s="164">
        <f>$N178*72%/(8760*86%*20)+$T178</f>
        <v>7.1678878623765534E-3</v>
      </c>
      <c r="V178" s="35">
        <f>N178*2%</f>
        <v>30</v>
      </c>
      <c r="W178" s="44">
        <f>(1/4/0.2*0+$V178*0.4/55.5)</f>
        <v>0.21621621621621623</v>
      </c>
      <c r="X178" s="123">
        <f t="shared" si="159"/>
        <v>0</v>
      </c>
      <c r="Y178" s="177">
        <f t="shared" si="160"/>
        <v>1.1819847085058936E-3</v>
      </c>
      <c r="Z178" s="35">
        <f t="shared" si="161"/>
        <v>4.9470000000000001</v>
      </c>
      <c r="AA178" s="41">
        <f t="shared" si="162"/>
        <v>3.5654054054054057E-2</v>
      </c>
      <c r="AB178" s="32" t="s">
        <v>309</v>
      </c>
      <c r="AC178" s="124">
        <v>0.16489999999999999</v>
      </c>
    </row>
    <row r="179" spans="1:29" ht="57.6" x14ac:dyDescent="0.3">
      <c r="B179" s="215" t="s">
        <v>320</v>
      </c>
      <c r="C179" s="186" t="s">
        <v>321</v>
      </c>
      <c r="D179" s="186" t="s">
        <v>321</v>
      </c>
      <c r="E179" s="5" t="s">
        <v>1159</v>
      </c>
      <c r="F179" s="5" t="s">
        <v>1160</v>
      </c>
      <c r="G179" s="182" t="s">
        <v>45</v>
      </c>
      <c r="H179" s="184">
        <v>3.33</v>
      </c>
      <c r="I179" s="184">
        <v>3.33</v>
      </c>
      <c r="J179" s="181" t="s">
        <v>324</v>
      </c>
      <c r="K179" s="195" t="s">
        <v>325</v>
      </c>
      <c r="L179" s="195" t="s">
        <v>326</v>
      </c>
      <c r="M179" s="195" t="s">
        <v>1441</v>
      </c>
      <c r="N179" s="181">
        <v>1500</v>
      </c>
      <c r="O179" s="181">
        <f t="shared" si="151"/>
        <v>1170</v>
      </c>
      <c r="P179" s="181" t="s">
        <v>327</v>
      </c>
      <c r="Q179" s="276" t="s">
        <v>328</v>
      </c>
      <c r="R179" s="186">
        <v>20</v>
      </c>
      <c r="S179" s="186" t="s">
        <v>329</v>
      </c>
      <c r="T179" s="216">
        <v>0</v>
      </c>
      <c r="U179" s="197">
        <f>$N179*20%/(8760*50%*20)+$T179</f>
        <v>3.4246575342465752E-3</v>
      </c>
      <c r="V179" s="186">
        <f>3%*$N179</f>
        <v>45</v>
      </c>
      <c r="W179" s="188">
        <v>0.16880000000000001</v>
      </c>
      <c r="X179" s="188">
        <f t="shared" si="159"/>
        <v>0</v>
      </c>
      <c r="Y179" s="185">
        <f t="shared" si="160"/>
        <v>2.6712328767123285E-3</v>
      </c>
      <c r="Z179" s="186">
        <f t="shared" si="161"/>
        <v>35.1</v>
      </c>
      <c r="AA179" s="187">
        <f t="shared" si="162"/>
        <v>0.131664</v>
      </c>
      <c r="AB179" s="181" t="s">
        <v>330</v>
      </c>
      <c r="AC179" s="237">
        <v>0.78</v>
      </c>
    </row>
    <row r="180" spans="1:29" ht="57.6" x14ac:dyDescent="0.3">
      <c r="B180" s="131" t="s">
        <v>331</v>
      </c>
      <c r="C180" s="3">
        <v>1161</v>
      </c>
      <c r="D180" s="235">
        <f>C180/AC180</f>
        <v>751.94300518134708</v>
      </c>
      <c r="E180" s="5" t="s">
        <v>1155</v>
      </c>
      <c r="F180" s="5" t="s">
        <v>1156</v>
      </c>
      <c r="G180" s="21" t="s">
        <v>45</v>
      </c>
      <c r="H180" s="4">
        <v>3.33</v>
      </c>
      <c r="I180" s="4">
        <v>3.33</v>
      </c>
      <c r="J180" s="5" t="s">
        <v>324</v>
      </c>
      <c r="K180" s="8" t="s">
        <v>325</v>
      </c>
      <c r="L180" s="8" t="s">
        <v>326</v>
      </c>
      <c r="M180" s="8" t="s">
        <v>1441</v>
      </c>
      <c r="N180" s="5">
        <v>853</v>
      </c>
      <c r="O180" s="5">
        <f t="shared" si="151"/>
        <v>1317.0319999999999</v>
      </c>
      <c r="P180" s="5" t="s">
        <v>327</v>
      </c>
      <c r="Q180" s="277"/>
      <c r="R180">
        <v>20</v>
      </c>
      <c r="S180" t="s">
        <v>329</v>
      </c>
      <c r="T180" s="125">
        <v>0</v>
      </c>
      <c r="U180" s="12">
        <f>$N180*20%/(8760*50%*20)+$T180</f>
        <v>1.9474885844748861E-3</v>
      </c>
      <c r="V180">
        <f>3%*$N180</f>
        <v>25.59</v>
      </c>
      <c r="W180" s="200">
        <v>9.5960000000000004E-2</v>
      </c>
      <c r="X180" s="22">
        <f t="shared" si="159"/>
        <v>0</v>
      </c>
      <c r="Y180" s="160">
        <f t="shared" si="160"/>
        <v>3.0069223744292242E-3</v>
      </c>
      <c r="Z180">
        <f t="shared" si="161"/>
        <v>39.510960000000004</v>
      </c>
      <c r="AA180" s="6">
        <f t="shared" si="162"/>
        <v>0.14816224</v>
      </c>
      <c r="AB180" s="5" t="s">
        <v>330</v>
      </c>
      <c r="AC180" s="234">
        <v>1.544</v>
      </c>
    </row>
    <row r="181" spans="1:29" ht="57.6" x14ac:dyDescent="0.3">
      <c r="B181" s="132" t="s">
        <v>331</v>
      </c>
      <c r="C181" s="30">
        <v>4642</v>
      </c>
      <c r="D181" s="236">
        <f>C181/AC181</f>
        <v>2939.8353388220394</v>
      </c>
      <c r="E181" s="32" t="s">
        <v>1157</v>
      </c>
      <c r="F181" s="32" t="s">
        <v>1158</v>
      </c>
      <c r="G181" s="43" t="s">
        <v>45</v>
      </c>
      <c r="H181" s="34">
        <v>3.33</v>
      </c>
      <c r="I181" s="34">
        <v>3.33</v>
      </c>
      <c r="J181" s="32" t="s">
        <v>324</v>
      </c>
      <c r="K181" s="76" t="s">
        <v>325</v>
      </c>
      <c r="L181" s="76" t="s">
        <v>326</v>
      </c>
      <c r="M181" s="76" t="s">
        <v>1441</v>
      </c>
      <c r="N181" s="32">
        <v>626</v>
      </c>
      <c r="O181" s="32">
        <f t="shared" si="151"/>
        <v>988.45399999999995</v>
      </c>
      <c r="P181" s="32" t="s">
        <v>327</v>
      </c>
      <c r="Q181" s="278"/>
      <c r="R181" s="35">
        <v>20</v>
      </c>
      <c r="S181" s="35" t="s">
        <v>329</v>
      </c>
      <c r="T181" s="126">
        <v>0</v>
      </c>
      <c r="U181" s="164">
        <f>$N181*20%/(8760*50%*20)+$T181</f>
        <v>1.4292237442922375E-3</v>
      </c>
      <c r="V181" s="35">
        <f>3%*$N181</f>
        <v>18.779999999999998</v>
      </c>
      <c r="W181" s="217">
        <v>7.0430000000000006E-2</v>
      </c>
      <c r="X181" s="44">
        <f t="shared" si="159"/>
        <v>0</v>
      </c>
      <c r="Y181" s="177">
        <f t="shared" si="160"/>
        <v>2.2567442922374428E-3</v>
      </c>
      <c r="Z181" s="35">
        <f t="shared" si="161"/>
        <v>29.653619999999997</v>
      </c>
      <c r="AA181" s="41">
        <f t="shared" si="162"/>
        <v>0.11120897</v>
      </c>
      <c r="AB181" s="32" t="s">
        <v>330</v>
      </c>
      <c r="AC181" s="128">
        <v>1.579</v>
      </c>
    </row>
    <row r="182" spans="1:29" ht="129.6" x14ac:dyDescent="0.3">
      <c r="B182" s="135" t="s">
        <v>341</v>
      </c>
      <c r="C182" s="84" t="s">
        <v>321</v>
      </c>
      <c r="D182" s="84" t="s">
        <v>321</v>
      </c>
      <c r="E182" s="84" t="s">
        <v>1153</v>
      </c>
      <c r="F182" s="84" t="s">
        <v>1154</v>
      </c>
      <c r="G182" s="136" t="s">
        <v>45</v>
      </c>
      <c r="H182" s="85" t="s">
        <v>342</v>
      </c>
      <c r="I182" s="85" t="s">
        <v>342</v>
      </c>
      <c r="J182" s="85" t="s">
        <v>303</v>
      </c>
      <c r="K182" s="87" t="s">
        <v>343</v>
      </c>
      <c r="L182" s="87" t="s">
        <v>344</v>
      </c>
      <c r="M182" s="87" t="s">
        <v>1442</v>
      </c>
      <c r="N182" s="84">
        <v>375</v>
      </c>
      <c r="O182" s="84">
        <f t="shared" si="151"/>
        <v>1875</v>
      </c>
      <c r="P182" s="84" t="s">
        <v>1336</v>
      </c>
      <c r="Q182" s="89" t="s">
        <v>188</v>
      </c>
      <c r="R182" s="84" t="s">
        <v>345</v>
      </c>
      <c r="S182" s="85" t="s">
        <v>346</v>
      </c>
      <c r="T182" s="137" t="s">
        <v>347</v>
      </c>
      <c r="U182" s="204">
        <f>$N182*27%/(8760*60%*20)+0.0279</f>
        <v>2.8863184931506851E-2</v>
      </c>
      <c r="V182" s="84">
        <f>3%*N182</f>
        <v>11.25</v>
      </c>
      <c r="W182" s="90" t="s">
        <v>458</v>
      </c>
      <c r="X182" s="94">
        <v>0.18990000000000001</v>
      </c>
      <c r="Y182" s="206">
        <f t="shared" si="160"/>
        <v>0.14431592465753426</v>
      </c>
      <c r="Z182" s="85">
        <f t="shared" si="161"/>
        <v>56.25</v>
      </c>
      <c r="AA182" s="218" t="s">
        <v>459</v>
      </c>
      <c r="AB182" s="84" t="s">
        <v>1443</v>
      </c>
      <c r="AC182" s="138">
        <v>5</v>
      </c>
    </row>
    <row r="183" spans="1:29" ht="43.2" x14ac:dyDescent="0.3">
      <c r="B183" s="219" t="s">
        <v>355</v>
      </c>
      <c r="C183" s="186" t="s">
        <v>460</v>
      </c>
      <c r="D183" s="186" t="s">
        <v>356</v>
      </c>
      <c r="E183" s="220" t="s">
        <v>357</v>
      </c>
      <c r="F183" s="220" t="s">
        <v>356</v>
      </c>
      <c r="G183" s="220" t="s">
        <v>71</v>
      </c>
      <c r="H183" s="282" t="s">
        <v>358</v>
      </c>
      <c r="I183" s="282" t="s">
        <v>359</v>
      </c>
      <c r="J183" s="286" t="s">
        <v>360</v>
      </c>
      <c r="K183" s="182" t="s">
        <v>361</v>
      </c>
      <c r="L183" s="182" t="s">
        <v>362</v>
      </c>
      <c r="M183" s="182" t="s">
        <v>1432</v>
      </c>
      <c r="N183" s="181">
        <v>4170</v>
      </c>
      <c r="O183" s="182" t="s">
        <v>356</v>
      </c>
      <c r="P183" s="181" t="s">
        <v>363</v>
      </c>
      <c r="Q183" s="276" t="s">
        <v>71</v>
      </c>
      <c r="R183" s="186" t="s">
        <v>364</v>
      </c>
      <c r="S183" s="186" t="s">
        <v>365</v>
      </c>
      <c r="T183" s="186">
        <v>0</v>
      </c>
      <c r="U183" s="197">
        <f>$N183*18%/(8760*18%*25)+$T183</f>
        <v>1.9041095890410961E-2</v>
      </c>
      <c r="V183" s="181" t="s">
        <v>461</v>
      </c>
      <c r="W183" s="220">
        <v>0</v>
      </c>
      <c r="X183" s="220" t="s">
        <v>356</v>
      </c>
      <c r="Y183" s="220" t="s">
        <v>356</v>
      </c>
      <c r="Z183" s="220" t="s">
        <v>356</v>
      </c>
      <c r="AA183" s="220" t="s">
        <v>356</v>
      </c>
      <c r="AB183" s="186" t="s">
        <v>462</v>
      </c>
      <c r="AC183" s="186"/>
    </row>
    <row r="184" spans="1:29" ht="43.2" x14ac:dyDescent="0.3">
      <c r="B184" s="158" t="s">
        <v>355</v>
      </c>
      <c r="C184" t="s">
        <v>463</v>
      </c>
      <c r="D184" t="s">
        <v>356</v>
      </c>
      <c r="E184" s="19" t="s">
        <v>357</v>
      </c>
      <c r="F184" s="19" t="s">
        <v>356</v>
      </c>
      <c r="G184" s="19" t="s">
        <v>71</v>
      </c>
      <c r="H184" s="284"/>
      <c r="I184" s="284"/>
      <c r="J184" s="288"/>
      <c r="K184" s="21" t="s">
        <v>361</v>
      </c>
      <c r="L184" s="21" t="s">
        <v>362</v>
      </c>
      <c r="M184" s="21" t="s">
        <v>1432</v>
      </c>
      <c r="N184">
        <v>3460</v>
      </c>
      <c r="O184" s="21" t="s">
        <v>356</v>
      </c>
      <c r="P184" t="s">
        <v>363</v>
      </c>
      <c r="Q184" s="277"/>
      <c r="R184" t="s">
        <v>364</v>
      </c>
      <c r="S184" t="s">
        <v>365</v>
      </c>
      <c r="T184">
        <v>0</v>
      </c>
      <c r="U184" s="12">
        <f>$N184*18%/(8760*18%*25)+$T184</f>
        <v>1.5799086757990865E-2</v>
      </c>
      <c r="V184" t="s">
        <v>464</v>
      </c>
      <c r="W184" s="19">
        <v>0</v>
      </c>
      <c r="X184" s="19" t="s">
        <v>356</v>
      </c>
      <c r="Y184" s="19" t="s">
        <v>356</v>
      </c>
      <c r="Z184" s="19" t="s">
        <v>356</v>
      </c>
      <c r="AA184" s="19" t="s">
        <v>356</v>
      </c>
      <c r="AB184" t="s">
        <v>465</v>
      </c>
    </row>
    <row r="185" spans="1:29" ht="43.2" x14ac:dyDescent="0.3">
      <c r="B185" s="158" t="s">
        <v>355</v>
      </c>
      <c r="C185" t="s">
        <v>466</v>
      </c>
      <c r="D185" t="s">
        <v>356</v>
      </c>
      <c r="E185" s="19" t="s">
        <v>357</v>
      </c>
      <c r="F185" s="19" t="s">
        <v>356</v>
      </c>
      <c r="G185" s="19" t="s">
        <v>71</v>
      </c>
      <c r="H185" s="284"/>
      <c r="I185" s="284"/>
      <c r="J185" s="288"/>
      <c r="K185" s="21" t="s">
        <v>361</v>
      </c>
      <c r="L185" s="21" t="s">
        <v>362</v>
      </c>
      <c r="M185" s="21" t="s">
        <v>1432</v>
      </c>
      <c r="N185" s="5">
        <v>2610</v>
      </c>
      <c r="O185" s="21" t="s">
        <v>356</v>
      </c>
      <c r="P185" s="5" t="s">
        <v>363</v>
      </c>
      <c r="Q185" s="277"/>
      <c r="R185" t="s">
        <v>364</v>
      </c>
      <c r="S185" t="s">
        <v>365</v>
      </c>
      <c r="T185">
        <v>0</v>
      </c>
      <c r="U185" s="12">
        <f>$N185*18%/(8760*18%*25)+$T185</f>
        <v>1.191780821917808E-2</v>
      </c>
      <c r="V185" t="s">
        <v>467</v>
      </c>
      <c r="W185" s="19">
        <v>0</v>
      </c>
      <c r="X185" s="19" t="s">
        <v>356</v>
      </c>
      <c r="Y185" s="19" t="s">
        <v>356</v>
      </c>
      <c r="Z185" s="19" t="s">
        <v>356</v>
      </c>
      <c r="AA185" s="19" t="s">
        <v>356</v>
      </c>
      <c r="AB185" t="s">
        <v>468</v>
      </c>
    </row>
    <row r="186" spans="1:29" ht="43.2" x14ac:dyDescent="0.3">
      <c r="B186" s="158" t="s">
        <v>355</v>
      </c>
      <c r="C186" t="s">
        <v>469</v>
      </c>
      <c r="D186" t="s">
        <v>356</v>
      </c>
      <c r="E186" s="19" t="s">
        <v>357</v>
      </c>
      <c r="F186" s="19" t="s">
        <v>356</v>
      </c>
      <c r="G186" s="19" t="s">
        <v>71</v>
      </c>
      <c r="H186" s="284"/>
      <c r="I186" s="284"/>
      <c r="J186" s="288"/>
      <c r="K186" s="21" t="s">
        <v>361</v>
      </c>
      <c r="L186" s="21" t="s">
        <v>362</v>
      </c>
      <c r="M186" s="21" t="s">
        <v>1432</v>
      </c>
      <c r="N186">
        <v>2230</v>
      </c>
      <c r="O186" s="21" t="s">
        <v>356</v>
      </c>
      <c r="P186" t="s">
        <v>363</v>
      </c>
      <c r="Q186" s="277"/>
      <c r="R186" t="s">
        <v>364</v>
      </c>
      <c r="S186" t="s">
        <v>365</v>
      </c>
      <c r="T186">
        <v>0</v>
      </c>
      <c r="U186" s="12">
        <f>$N186*18%/(8760*18%*25)+$T186</f>
        <v>1.0182648401826484E-2</v>
      </c>
      <c r="V186" t="s">
        <v>470</v>
      </c>
      <c r="W186" s="19">
        <v>0</v>
      </c>
      <c r="X186" s="19" t="s">
        <v>356</v>
      </c>
      <c r="Y186" s="19" t="s">
        <v>356</v>
      </c>
      <c r="Z186" s="19" t="s">
        <v>356</v>
      </c>
      <c r="AA186" s="19" t="s">
        <v>356</v>
      </c>
      <c r="AB186" t="s">
        <v>468</v>
      </c>
    </row>
    <row r="187" spans="1:29" ht="43.2" x14ac:dyDescent="0.3">
      <c r="B187" s="158" t="s">
        <v>355</v>
      </c>
      <c r="C187" t="s">
        <v>471</v>
      </c>
      <c r="D187" t="s">
        <v>356</v>
      </c>
      <c r="E187" s="19" t="s">
        <v>357</v>
      </c>
      <c r="F187" s="19" t="s">
        <v>356</v>
      </c>
      <c r="G187" s="19" t="s">
        <v>71</v>
      </c>
      <c r="H187" s="284"/>
      <c r="I187" s="284"/>
      <c r="J187" s="288"/>
      <c r="K187" s="21" t="s">
        <v>361</v>
      </c>
      <c r="L187" s="21" t="s">
        <v>362</v>
      </c>
      <c r="M187" s="21" t="s">
        <v>1432</v>
      </c>
      <c r="N187">
        <v>1650</v>
      </c>
      <c r="O187" s="21" t="s">
        <v>356</v>
      </c>
      <c r="P187" t="s">
        <v>363</v>
      </c>
      <c r="Q187" s="277"/>
      <c r="R187" t="s">
        <v>364</v>
      </c>
      <c r="S187" t="s">
        <v>365</v>
      </c>
      <c r="T187">
        <v>0</v>
      </c>
      <c r="U187" s="12">
        <f>$N187*18%/(8760*18%*25)+$T187</f>
        <v>7.534246575342466E-3</v>
      </c>
      <c r="V187" s="5" t="s">
        <v>470</v>
      </c>
      <c r="W187" s="19">
        <v>0</v>
      </c>
      <c r="X187" s="19" t="s">
        <v>356</v>
      </c>
      <c r="Y187" s="19" t="s">
        <v>356</v>
      </c>
      <c r="Z187" s="19" t="s">
        <v>356</v>
      </c>
      <c r="AA187" s="19" t="s">
        <v>356</v>
      </c>
      <c r="AB187" t="s">
        <v>468</v>
      </c>
    </row>
    <row r="188" spans="1:29" ht="43.2" x14ac:dyDescent="0.3">
      <c r="B188" s="221" t="s">
        <v>355</v>
      </c>
      <c r="C188" s="35" t="s">
        <v>472</v>
      </c>
      <c r="D188" s="35" t="s">
        <v>356</v>
      </c>
      <c r="E188" s="31" t="s">
        <v>357</v>
      </c>
      <c r="F188" s="31" t="s">
        <v>356</v>
      </c>
      <c r="G188" s="31" t="s">
        <v>71</v>
      </c>
      <c r="H188" s="285"/>
      <c r="I188" s="285"/>
      <c r="J188" s="289"/>
      <c r="K188" s="43" t="s">
        <v>361</v>
      </c>
      <c r="L188" s="43" t="s">
        <v>362</v>
      </c>
      <c r="M188" s="43" t="s">
        <v>1432</v>
      </c>
      <c r="N188" s="34" t="s">
        <v>473</v>
      </c>
      <c r="O188" s="43" t="s">
        <v>356</v>
      </c>
      <c r="P188" s="32" t="s">
        <v>474</v>
      </c>
      <c r="Q188" s="278"/>
      <c r="R188" s="35" t="s">
        <v>364</v>
      </c>
      <c r="S188" s="35" t="s">
        <v>365</v>
      </c>
      <c r="T188" s="35">
        <v>0</v>
      </c>
      <c r="U188" s="164">
        <f>1140*18%/(8760*18%*25)+$T188</f>
        <v>5.2054794520547945E-3</v>
      </c>
      <c r="V188" s="32" t="s">
        <v>475</v>
      </c>
      <c r="W188" s="31">
        <v>0</v>
      </c>
      <c r="X188" s="31" t="s">
        <v>356</v>
      </c>
      <c r="Y188" s="31" t="s">
        <v>356</v>
      </c>
      <c r="Z188" s="31" t="s">
        <v>356</v>
      </c>
      <c r="AA188" s="31" t="s">
        <v>356</v>
      </c>
      <c r="AB188" s="35" t="s">
        <v>476</v>
      </c>
      <c r="AC188" s="35"/>
    </row>
    <row r="189" spans="1:29" x14ac:dyDescent="0.3">
      <c r="B189" s="147" t="s">
        <v>366</v>
      </c>
      <c r="C189" s="179">
        <v>3</v>
      </c>
      <c r="D189" s="186" t="s">
        <v>356</v>
      </c>
      <c r="E189" s="220" t="s">
        <v>357</v>
      </c>
      <c r="F189" s="220" t="s">
        <v>356</v>
      </c>
      <c r="G189" s="220" t="s">
        <v>71</v>
      </c>
      <c r="H189" s="282" t="s">
        <v>367</v>
      </c>
      <c r="I189" s="282" t="s">
        <v>368</v>
      </c>
      <c r="J189" s="286" t="s">
        <v>369</v>
      </c>
      <c r="K189" s="179" t="s">
        <v>370</v>
      </c>
      <c r="L189" s="179" t="s">
        <v>371</v>
      </c>
      <c r="M189" s="179" t="s">
        <v>372</v>
      </c>
      <c r="N189" s="181">
        <v>6666</v>
      </c>
      <c r="O189" s="182" t="s">
        <v>356</v>
      </c>
      <c r="P189" s="186" t="s">
        <v>373</v>
      </c>
      <c r="Q189" s="276" t="s">
        <v>71</v>
      </c>
      <c r="R189" s="186">
        <v>25</v>
      </c>
      <c r="S189" s="186" t="s">
        <v>374</v>
      </c>
      <c r="T189" s="186">
        <v>0</v>
      </c>
      <c r="U189" s="197">
        <f>$N189*16%/(8760*35%*25)+$T189</f>
        <v>1.3914677103718199E-2</v>
      </c>
      <c r="V189" s="181" t="s">
        <v>477</v>
      </c>
      <c r="W189" s="220">
        <v>0</v>
      </c>
      <c r="X189" s="220" t="s">
        <v>356</v>
      </c>
      <c r="Y189" s="220" t="s">
        <v>356</v>
      </c>
      <c r="Z189" s="220" t="s">
        <v>356</v>
      </c>
      <c r="AA189" s="220" t="s">
        <v>356</v>
      </c>
      <c r="AB189" s="186" t="s">
        <v>478</v>
      </c>
      <c r="AC189" s="186"/>
    </row>
    <row r="190" spans="1:29" ht="43.2" x14ac:dyDescent="0.3">
      <c r="B190" s="148" t="s">
        <v>375</v>
      </c>
      <c r="C190" s="3">
        <v>3300</v>
      </c>
      <c r="D190" t="s">
        <v>356</v>
      </c>
      <c r="E190" s="19" t="s">
        <v>357</v>
      </c>
      <c r="F190" s="19" t="s">
        <v>356</v>
      </c>
      <c r="G190" s="19" t="s">
        <v>71</v>
      </c>
      <c r="H190" s="283"/>
      <c r="I190" s="283"/>
      <c r="J190" s="287"/>
      <c r="K190" s="3" t="s">
        <v>370</v>
      </c>
      <c r="L190" s="3" t="s">
        <v>371</v>
      </c>
      <c r="M190" s="3" t="s">
        <v>372</v>
      </c>
      <c r="N190" s="4" t="s">
        <v>479</v>
      </c>
      <c r="O190" s="21" t="s">
        <v>356</v>
      </c>
      <c r="P190" s="8" t="s">
        <v>480</v>
      </c>
      <c r="Q190" s="277"/>
      <c r="R190">
        <v>25</v>
      </c>
      <c r="S190" t="s">
        <v>374</v>
      </c>
      <c r="T190">
        <v>0</v>
      </c>
      <c r="U190" s="4" t="s">
        <v>481</v>
      </c>
      <c r="V190" s="5" t="s">
        <v>482</v>
      </c>
      <c r="W190" s="19">
        <v>0</v>
      </c>
      <c r="X190" s="19" t="s">
        <v>356</v>
      </c>
      <c r="Y190" s="19" t="s">
        <v>356</v>
      </c>
      <c r="Z190" s="19" t="s">
        <v>356</v>
      </c>
      <c r="AA190" s="19" t="s">
        <v>356</v>
      </c>
      <c r="AB190" t="s">
        <v>483</v>
      </c>
    </row>
    <row r="191" spans="1:29" ht="28.8" x14ac:dyDescent="0.3">
      <c r="A191" t="s">
        <v>484</v>
      </c>
      <c r="B191" s="222" t="s">
        <v>485</v>
      </c>
      <c r="C191" s="5" t="s">
        <v>486</v>
      </c>
      <c r="D191" t="s">
        <v>356</v>
      </c>
      <c r="E191" s="19" t="s">
        <v>357</v>
      </c>
      <c r="F191" s="19" t="s">
        <v>356</v>
      </c>
      <c r="G191" s="19" t="s">
        <v>71</v>
      </c>
      <c r="H191" s="284"/>
      <c r="I191" s="284"/>
      <c r="J191" s="288"/>
      <c r="K191" s="3" t="s">
        <v>370</v>
      </c>
      <c r="L191" s="3" t="s">
        <v>371</v>
      </c>
      <c r="M191" s="3" t="s">
        <v>372</v>
      </c>
      <c r="N191" s="223">
        <v>7005</v>
      </c>
      <c r="O191" s="21" t="s">
        <v>356</v>
      </c>
      <c r="P191" s="5" t="s">
        <v>376</v>
      </c>
      <c r="Q191" s="277"/>
      <c r="R191">
        <v>25</v>
      </c>
      <c r="S191" t="s">
        <v>374</v>
      </c>
      <c r="T191">
        <v>0</v>
      </c>
      <c r="U191" s="12">
        <f>$N191*20.3%/(8760*35%*25)+$T191</f>
        <v>1.8552054794520548E-2</v>
      </c>
      <c r="V191" s="5" t="s">
        <v>487</v>
      </c>
      <c r="W191" s="19">
        <v>0</v>
      </c>
      <c r="X191" s="19" t="s">
        <v>356</v>
      </c>
      <c r="Y191" s="19" t="s">
        <v>356</v>
      </c>
      <c r="Z191" s="19" t="s">
        <v>356</v>
      </c>
      <c r="AA191" s="19" t="s">
        <v>356</v>
      </c>
      <c r="AB191" t="s">
        <v>488</v>
      </c>
    </row>
    <row r="192" spans="1:29" ht="28.8" x14ac:dyDescent="0.3">
      <c r="A192" t="s">
        <v>489</v>
      </c>
      <c r="B192" s="222" t="s">
        <v>490</v>
      </c>
      <c r="C192" t="s">
        <v>491</v>
      </c>
      <c r="D192" t="s">
        <v>356</v>
      </c>
      <c r="E192" s="19" t="s">
        <v>357</v>
      </c>
      <c r="F192" s="19" t="s">
        <v>356</v>
      </c>
      <c r="G192" s="19" t="s">
        <v>71</v>
      </c>
      <c r="H192" s="284"/>
      <c r="I192" s="284"/>
      <c r="J192" s="288"/>
      <c r="K192" s="3" t="s">
        <v>370</v>
      </c>
      <c r="L192" s="3" t="s">
        <v>371</v>
      </c>
      <c r="M192" s="3" t="s">
        <v>372</v>
      </c>
      <c r="N192" s="223">
        <v>5497</v>
      </c>
      <c r="O192" s="21" t="s">
        <v>356</v>
      </c>
      <c r="P192" s="5" t="s">
        <v>376</v>
      </c>
      <c r="Q192" s="277"/>
      <c r="R192">
        <v>25</v>
      </c>
      <c r="S192" t="s">
        <v>374</v>
      </c>
      <c r="T192">
        <v>0</v>
      </c>
      <c r="U192" s="12">
        <f>$N192*20.3%/(8760*35%*25)+$T192</f>
        <v>1.4558264840182649E-2</v>
      </c>
      <c r="V192" s="5" t="s">
        <v>487</v>
      </c>
      <c r="W192" s="19">
        <v>0</v>
      </c>
      <c r="X192" s="19" t="s">
        <v>356</v>
      </c>
      <c r="Y192" s="19" t="s">
        <v>356</v>
      </c>
      <c r="Z192" s="19" t="s">
        <v>356</v>
      </c>
      <c r="AA192" s="19" t="s">
        <v>356</v>
      </c>
      <c r="AB192" t="s">
        <v>488</v>
      </c>
    </row>
    <row r="193" spans="2:29" ht="28.8" x14ac:dyDescent="0.3">
      <c r="B193" s="222" t="s">
        <v>492</v>
      </c>
      <c r="C193" t="s">
        <v>493</v>
      </c>
      <c r="D193" t="s">
        <v>356</v>
      </c>
      <c r="E193" s="19" t="s">
        <v>357</v>
      </c>
      <c r="F193" s="19" t="s">
        <v>356</v>
      </c>
      <c r="G193" s="19" t="s">
        <v>71</v>
      </c>
      <c r="H193" s="284"/>
      <c r="I193" s="284"/>
      <c r="J193" s="288"/>
      <c r="K193" s="3" t="s">
        <v>370</v>
      </c>
      <c r="L193" s="3" t="s">
        <v>371</v>
      </c>
      <c r="M193" s="3" t="s">
        <v>372</v>
      </c>
      <c r="N193" s="223">
        <v>3415</v>
      </c>
      <c r="O193" s="21" t="s">
        <v>356</v>
      </c>
      <c r="P193" s="5" t="s">
        <v>376</v>
      </c>
      <c r="Q193" s="277"/>
      <c r="R193">
        <v>25</v>
      </c>
      <c r="S193" t="s">
        <v>374</v>
      </c>
      <c r="T193">
        <v>0</v>
      </c>
      <c r="U193" s="12">
        <f>$N193*20.3%/(8760*35%*25)+$T193</f>
        <v>9.0442922374429219E-3</v>
      </c>
      <c r="V193" s="5" t="s">
        <v>487</v>
      </c>
      <c r="W193" s="19">
        <v>0</v>
      </c>
      <c r="X193" s="19" t="s">
        <v>356</v>
      </c>
      <c r="Y193" s="19" t="s">
        <v>356</v>
      </c>
      <c r="Z193" s="19" t="s">
        <v>356</v>
      </c>
      <c r="AA193" s="19" t="s">
        <v>356</v>
      </c>
      <c r="AB193" t="s">
        <v>488</v>
      </c>
    </row>
    <row r="194" spans="2:29" ht="28.8" x14ac:dyDescent="0.3">
      <c r="B194" s="170" t="s">
        <v>494</v>
      </c>
      <c r="C194" s="35" t="s">
        <v>495</v>
      </c>
      <c r="D194" s="35" t="s">
        <v>356</v>
      </c>
      <c r="E194" s="31" t="s">
        <v>357</v>
      </c>
      <c r="F194" s="31" t="s">
        <v>356</v>
      </c>
      <c r="G194" s="31" t="s">
        <v>71</v>
      </c>
      <c r="H194" s="285"/>
      <c r="I194" s="285"/>
      <c r="J194" s="289"/>
      <c r="K194" s="30" t="s">
        <v>370</v>
      </c>
      <c r="L194" s="30" t="s">
        <v>371</v>
      </c>
      <c r="M194" s="30" t="s">
        <v>372</v>
      </c>
      <c r="N194" s="224">
        <v>2718</v>
      </c>
      <c r="O194" s="43" t="s">
        <v>356</v>
      </c>
      <c r="P194" s="32" t="s">
        <v>376</v>
      </c>
      <c r="Q194" s="278"/>
      <c r="R194" s="35">
        <v>25</v>
      </c>
      <c r="S194" s="35" t="s">
        <v>374</v>
      </c>
      <c r="T194" s="35">
        <v>0</v>
      </c>
      <c r="U194" s="164">
        <f>$N194*20.3%/(8760*35%*25)+$T194</f>
        <v>7.1983561643835618E-3</v>
      </c>
      <c r="V194" s="32" t="s">
        <v>487</v>
      </c>
      <c r="W194" s="31">
        <v>0</v>
      </c>
      <c r="X194" s="31" t="s">
        <v>356</v>
      </c>
      <c r="Y194" s="31" t="s">
        <v>356</v>
      </c>
      <c r="Z194" s="31" t="s">
        <v>356</v>
      </c>
      <c r="AA194" s="31" t="s">
        <v>356</v>
      </c>
      <c r="AB194" s="35" t="s">
        <v>488</v>
      </c>
      <c r="AC194" s="35"/>
    </row>
    <row r="195" spans="2:29" ht="28.8" x14ac:dyDescent="0.3">
      <c r="B195" s="225" t="s">
        <v>87</v>
      </c>
      <c r="C195" s="179">
        <v>5</v>
      </c>
      <c r="D195" s="186" t="s">
        <v>356</v>
      </c>
      <c r="E195" s="220" t="s">
        <v>357</v>
      </c>
      <c r="F195" s="220" t="s">
        <v>356</v>
      </c>
      <c r="G195" s="220" t="s">
        <v>71</v>
      </c>
      <c r="H195" s="182" t="s">
        <v>377</v>
      </c>
      <c r="I195" s="182" t="s">
        <v>377</v>
      </c>
      <c r="J195" s="195" t="s">
        <v>378</v>
      </c>
      <c r="K195" s="179" t="s">
        <v>356</v>
      </c>
      <c r="L195" s="179" t="s">
        <v>356</v>
      </c>
      <c r="M195" s="220" t="s">
        <v>71</v>
      </c>
      <c r="N195" s="184">
        <v>2220</v>
      </c>
      <c r="O195" s="182" t="s">
        <v>356</v>
      </c>
      <c r="P195" s="181" t="s">
        <v>496</v>
      </c>
      <c r="Q195" s="276" t="s">
        <v>71</v>
      </c>
      <c r="R195" s="186">
        <v>25</v>
      </c>
      <c r="S195" s="186" t="s">
        <v>379</v>
      </c>
      <c r="T195" s="186">
        <v>0</v>
      </c>
      <c r="U195" s="197">
        <f t="shared" ref="U195:U204" si="164">$N195*20.5%/(8760*20%*25)+$T195</f>
        <v>1.0390410958904108E-2</v>
      </c>
      <c r="V195" s="191">
        <v>9.9</v>
      </c>
      <c r="W195" s="220">
        <v>0</v>
      </c>
      <c r="X195" s="220" t="s">
        <v>356</v>
      </c>
      <c r="Y195" s="220" t="s">
        <v>356</v>
      </c>
      <c r="Z195" s="220" t="s">
        <v>356</v>
      </c>
      <c r="AA195" s="220" t="s">
        <v>356</v>
      </c>
      <c r="AB195" s="181" t="s">
        <v>380</v>
      </c>
      <c r="AC195" s="186"/>
    </row>
    <row r="196" spans="2:29" ht="28.8" x14ac:dyDescent="0.3">
      <c r="B196" s="149" t="s">
        <v>87</v>
      </c>
      <c r="C196" s="3">
        <v>10</v>
      </c>
      <c r="D196" t="s">
        <v>356</v>
      </c>
      <c r="E196" s="19" t="s">
        <v>357</v>
      </c>
      <c r="F196" s="19" t="s">
        <v>356</v>
      </c>
      <c r="G196" s="19" t="s">
        <v>71</v>
      </c>
      <c r="H196" s="21" t="s">
        <v>377</v>
      </c>
      <c r="I196" s="21" t="s">
        <v>377</v>
      </c>
      <c r="J196" s="8" t="s">
        <v>378</v>
      </c>
      <c r="K196" s="3" t="s">
        <v>356</v>
      </c>
      <c r="L196" s="3" t="s">
        <v>356</v>
      </c>
      <c r="M196" s="19" t="s">
        <v>71</v>
      </c>
      <c r="N196" s="4">
        <v>1830</v>
      </c>
      <c r="O196" s="21" t="s">
        <v>356</v>
      </c>
      <c r="P196" s="5" t="s">
        <v>496</v>
      </c>
      <c r="Q196" s="277"/>
      <c r="R196">
        <v>25</v>
      </c>
      <c r="S196" t="s">
        <v>379</v>
      </c>
      <c r="T196">
        <v>0</v>
      </c>
      <c r="U196" s="12">
        <f t="shared" si="164"/>
        <v>8.5650684931506838E-3</v>
      </c>
      <c r="V196" s="193">
        <v>9.8000000000000007</v>
      </c>
      <c r="W196" s="19">
        <v>0</v>
      </c>
      <c r="X196" s="19" t="s">
        <v>356</v>
      </c>
      <c r="Y196" s="19" t="s">
        <v>356</v>
      </c>
      <c r="Z196" s="19" t="s">
        <v>356</v>
      </c>
      <c r="AA196" s="19" t="s">
        <v>356</v>
      </c>
      <c r="AB196" s="5" t="s">
        <v>380</v>
      </c>
    </row>
    <row r="197" spans="2:29" ht="28.8" x14ac:dyDescent="0.3">
      <c r="B197" s="149" t="s">
        <v>87</v>
      </c>
      <c r="C197" s="3">
        <v>20</v>
      </c>
      <c r="D197" t="s">
        <v>356</v>
      </c>
      <c r="E197" s="19" t="s">
        <v>357</v>
      </c>
      <c r="F197" s="19" t="s">
        <v>356</v>
      </c>
      <c r="G197" s="19" t="s">
        <v>71</v>
      </c>
      <c r="H197" s="21" t="s">
        <v>377</v>
      </c>
      <c r="I197" s="21" t="s">
        <v>377</v>
      </c>
      <c r="J197" s="8" t="s">
        <v>378</v>
      </c>
      <c r="K197" s="3" t="s">
        <v>356</v>
      </c>
      <c r="L197" s="3" t="s">
        <v>356</v>
      </c>
      <c r="M197" s="19" t="s">
        <v>71</v>
      </c>
      <c r="N197" s="4">
        <v>1450</v>
      </c>
      <c r="O197" s="21" t="s">
        <v>356</v>
      </c>
      <c r="P197" s="5" t="s">
        <v>496</v>
      </c>
      <c r="Q197" s="277"/>
      <c r="R197">
        <v>25</v>
      </c>
      <c r="S197" t="s">
        <v>379</v>
      </c>
      <c r="T197">
        <v>0</v>
      </c>
      <c r="U197" s="12">
        <f t="shared" si="164"/>
        <v>6.7865296803652966E-3</v>
      </c>
      <c r="V197" s="193">
        <v>9.6</v>
      </c>
      <c r="W197" s="19">
        <v>0</v>
      </c>
      <c r="X197" s="19" t="s">
        <v>356</v>
      </c>
      <c r="Y197" s="19" t="s">
        <v>356</v>
      </c>
      <c r="Z197" s="19" t="s">
        <v>356</v>
      </c>
      <c r="AA197" s="19" t="s">
        <v>356</v>
      </c>
      <c r="AB197" s="5" t="s">
        <v>380</v>
      </c>
    </row>
    <row r="198" spans="2:29" x14ac:dyDescent="0.3">
      <c r="B198" s="150" t="s">
        <v>87</v>
      </c>
      <c r="C198" s="3">
        <v>140</v>
      </c>
      <c r="D198" t="s">
        <v>356</v>
      </c>
      <c r="E198" s="19" t="s">
        <v>357</v>
      </c>
      <c r="F198" s="19" t="s">
        <v>356</v>
      </c>
      <c r="G198" s="19" t="s">
        <v>71</v>
      </c>
      <c r="H198" s="21" t="s">
        <v>377</v>
      </c>
      <c r="I198" s="21" t="s">
        <v>377</v>
      </c>
      <c r="J198" s="8" t="s">
        <v>378</v>
      </c>
      <c r="K198" s="3" t="s">
        <v>356</v>
      </c>
      <c r="L198" s="3" t="s">
        <v>356</v>
      </c>
      <c r="M198" s="19" t="s">
        <v>71</v>
      </c>
      <c r="N198" s="4">
        <v>772</v>
      </c>
      <c r="O198" s="21" t="s">
        <v>356</v>
      </c>
      <c r="P198" s="5" t="s">
        <v>381</v>
      </c>
      <c r="Q198" s="277"/>
      <c r="R198">
        <v>25</v>
      </c>
      <c r="S198" t="s">
        <v>379</v>
      </c>
      <c r="T198">
        <v>0</v>
      </c>
      <c r="U198" s="12">
        <f t="shared" si="164"/>
        <v>3.6132420091324201E-3</v>
      </c>
      <c r="V198" s="193">
        <v>7</v>
      </c>
      <c r="W198" s="19">
        <v>0</v>
      </c>
      <c r="X198" s="19" t="s">
        <v>356</v>
      </c>
      <c r="Y198" s="19" t="s">
        <v>356</v>
      </c>
      <c r="Z198" s="19" t="s">
        <v>356</v>
      </c>
      <c r="AA198" s="19" t="s">
        <v>356</v>
      </c>
      <c r="AB198" s="5" t="s">
        <v>380</v>
      </c>
    </row>
    <row r="199" spans="2:29" x14ac:dyDescent="0.3">
      <c r="B199" s="149" t="s">
        <v>89</v>
      </c>
      <c r="C199" s="3">
        <v>350</v>
      </c>
      <c r="D199" t="s">
        <v>356</v>
      </c>
      <c r="E199" s="19" t="s">
        <v>357</v>
      </c>
      <c r="F199" s="19" t="s">
        <v>356</v>
      </c>
      <c r="G199" s="19" t="s">
        <v>71</v>
      </c>
      <c r="H199" s="21" t="s">
        <v>377</v>
      </c>
      <c r="I199" s="21" t="s">
        <v>377</v>
      </c>
      <c r="J199" s="8" t="s">
        <v>378</v>
      </c>
      <c r="K199" s="3" t="s">
        <v>356</v>
      </c>
      <c r="L199" s="3" t="s">
        <v>356</v>
      </c>
      <c r="M199" s="19" t="s">
        <v>71</v>
      </c>
      <c r="N199" s="4">
        <v>543</v>
      </c>
      <c r="O199" s="21" t="s">
        <v>356</v>
      </c>
      <c r="P199" s="5" t="s">
        <v>381</v>
      </c>
      <c r="Q199" s="277"/>
      <c r="R199">
        <v>25</v>
      </c>
      <c r="S199" t="s">
        <v>379</v>
      </c>
      <c r="T199">
        <v>0</v>
      </c>
      <c r="U199" s="12">
        <f t="shared" si="164"/>
        <v>2.5414383561643836E-3</v>
      </c>
      <c r="V199" s="193">
        <f t="shared" ref="V199:V204" si="165">N199*1.2%</f>
        <v>6.516</v>
      </c>
      <c r="W199" s="19">
        <v>0</v>
      </c>
      <c r="X199" s="19" t="s">
        <v>356</v>
      </c>
      <c r="Y199" s="19" t="s">
        <v>356</v>
      </c>
      <c r="Z199" s="19" t="s">
        <v>356</v>
      </c>
      <c r="AA199" s="19" t="s">
        <v>356</v>
      </c>
      <c r="AB199" s="5" t="s">
        <v>380</v>
      </c>
    </row>
    <row r="200" spans="2:29" x14ac:dyDescent="0.3">
      <c r="B200" s="149" t="s">
        <v>89</v>
      </c>
      <c r="C200" s="3">
        <v>700</v>
      </c>
      <c r="D200" t="s">
        <v>356</v>
      </c>
      <c r="E200" s="19" t="s">
        <v>357</v>
      </c>
      <c r="F200" s="19" t="s">
        <v>356</v>
      </c>
      <c r="G200" s="19" t="s">
        <v>71</v>
      </c>
      <c r="H200" s="21" t="s">
        <v>377</v>
      </c>
      <c r="I200" s="21" t="s">
        <v>377</v>
      </c>
      <c r="J200" s="8" t="s">
        <v>378</v>
      </c>
      <c r="K200" s="3" t="s">
        <v>356</v>
      </c>
      <c r="L200" s="3" t="s">
        <v>356</v>
      </c>
      <c r="M200" s="19" t="s">
        <v>71</v>
      </c>
      <c r="N200" s="4">
        <v>514</v>
      </c>
      <c r="O200" s="21" t="s">
        <v>356</v>
      </c>
      <c r="P200" s="5" t="s">
        <v>381</v>
      </c>
      <c r="Q200" s="277"/>
      <c r="R200">
        <v>25</v>
      </c>
      <c r="S200" t="s">
        <v>379</v>
      </c>
      <c r="T200">
        <v>0</v>
      </c>
      <c r="U200" s="12">
        <f t="shared" si="164"/>
        <v>2.4057077625570774E-3</v>
      </c>
      <c r="V200" s="193">
        <f t="shared" si="165"/>
        <v>6.1680000000000001</v>
      </c>
      <c r="W200" s="19">
        <v>0</v>
      </c>
      <c r="X200" s="19" t="s">
        <v>356</v>
      </c>
      <c r="Y200" s="19" t="s">
        <v>356</v>
      </c>
      <c r="Z200" s="19" t="s">
        <v>356</v>
      </c>
      <c r="AA200" s="19" t="s">
        <v>356</v>
      </c>
      <c r="AB200" s="5" t="s">
        <v>380</v>
      </c>
    </row>
    <row r="201" spans="2:29" x14ac:dyDescent="0.3">
      <c r="B201" s="149" t="s">
        <v>89</v>
      </c>
      <c r="C201" s="3">
        <v>1400</v>
      </c>
      <c r="D201" t="s">
        <v>356</v>
      </c>
      <c r="E201" s="19" t="s">
        <v>357</v>
      </c>
      <c r="F201" s="19" t="s">
        <v>356</v>
      </c>
      <c r="G201" s="19" t="s">
        <v>71</v>
      </c>
      <c r="H201" s="21" t="s">
        <v>377</v>
      </c>
      <c r="I201" s="21" t="s">
        <v>377</v>
      </c>
      <c r="J201" s="8" t="s">
        <v>378</v>
      </c>
      <c r="K201" s="3" t="s">
        <v>356</v>
      </c>
      <c r="L201" s="3" t="s">
        <v>356</v>
      </c>
      <c r="M201" s="19" t="s">
        <v>71</v>
      </c>
      <c r="N201" s="4">
        <v>486</v>
      </c>
      <c r="O201" s="21" t="s">
        <v>356</v>
      </c>
      <c r="P201" s="5" t="s">
        <v>25</v>
      </c>
      <c r="Q201" s="277"/>
      <c r="R201">
        <v>25</v>
      </c>
      <c r="S201" t="s">
        <v>379</v>
      </c>
      <c r="T201">
        <v>0</v>
      </c>
      <c r="U201" s="12">
        <f t="shared" si="164"/>
        <v>2.2746575342465752E-3</v>
      </c>
      <c r="V201" s="193">
        <f t="shared" si="165"/>
        <v>5.8319999999999999</v>
      </c>
      <c r="W201" s="19">
        <v>0</v>
      </c>
      <c r="X201" s="19" t="s">
        <v>356</v>
      </c>
      <c r="Y201" s="19" t="s">
        <v>356</v>
      </c>
      <c r="Z201" s="19" t="s">
        <v>356</v>
      </c>
      <c r="AA201" s="19" t="s">
        <v>356</v>
      </c>
      <c r="AB201" s="5" t="s">
        <v>380</v>
      </c>
    </row>
    <row r="202" spans="2:29" x14ac:dyDescent="0.3">
      <c r="B202" s="149" t="s">
        <v>89</v>
      </c>
      <c r="C202" s="3">
        <v>3500</v>
      </c>
      <c r="D202" t="s">
        <v>356</v>
      </c>
      <c r="E202" s="19" t="s">
        <v>357</v>
      </c>
      <c r="F202" s="19" t="s">
        <v>356</v>
      </c>
      <c r="G202" s="19" t="s">
        <v>71</v>
      </c>
      <c r="H202" s="21" t="s">
        <v>377</v>
      </c>
      <c r="I202" s="21" t="s">
        <v>377</v>
      </c>
      <c r="J202" s="8" t="s">
        <v>378</v>
      </c>
      <c r="K202" s="3" t="s">
        <v>356</v>
      </c>
      <c r="L202" s="3" t="s">
        <v>356</v>
      </c>
      <c r="M202" s="19" t="s">
        <v>71</v>
      </c>
      <c r="N202" s="4">
        <v>457</v>
      </c>
      <c r="O202" s="21" t="s">
        <v>356</v>
      </c>
      <c r="P202" s="5" t="s">
        <v>25</v>
      </c>
      <c r="Q202" s="277"/>
      <c r="R202">
        <v>25</v>
      </c>
      <c r="S202" t="s">
        <v>379</v>
      </c>
      <c r="T202">
        <v>0</v>
      </c>
      <c r="U202" s="12">
        <f t="shared" si="164"/>
        <v>2.1389269406392689E-3</v>
      </c>
      <c r="V202" s="193">
        <f t="shared" si="165"/>
        <v>5.484</v>
      </c>
      <c r="W202" s="19">
        <v>0</v>
      </c>
      <c r="X202" s="19" t="s">
        <v>356</v>
      </c>
      <c r="Y202" s="19" t="s">
        <v>356</v>
      </c>
      <c r="Z202" s="19" t="s">
        <v>356</v>
      </c>
      <c r="AA202" s="19" t="s">
        <v>356</v>
      </c>
      <c r="AB202" s="5" t="s">
        <v>380</v>
      </c>
    </row>
    <row r="203" spans="2:29" x14ac:dyDescent="0.3">
      <c r="B203" s="149" t="s">
        <v>89</v>
      </c>
      <c r="C203" s="3">
        <v>7000</v>
      </c>
      <c r="D203" t="s">
        <v>356</v>
      </c>
      <c r="E203" s="19" t="s">
        <v>357</v>
      </c>
      <c r="F203" s="19" t="s">
        <v>356</v>
      </c>
      <c r="G203" s="19" t="s">
        <v>71</v>
      </c>
      <c r="H203" s="21" t="s">
        <v>377</v>
      </c>
      <c r="I203" s="21" t="s">
        <v>377</v>
      </c>
      <c r="J203" s="8" t="s">
        <v>378</v>
      </c>
      <c r="K203" s="3" t="s">
        <v>356</v>
      </c>
      <c r="L203" s="3" t="s">
        <v>356</v>
      </c>
      <c r="M203" s="19" t="s">
        <v>71</v>
      </c>
      <c r="N203" s="4">
        <v>429</v>
      </c>
      <c r="O203" s="21" t="s">
        <v>356</v>
      </c>
      <c r="P203" s="5" t="s">
        <v>381</v>
      </c>
      <c r="Q203" s="277"/>
      <c r="R203">
        <v>25</v>
      </c>
      <c r="S203" t="s">
        <v>379</v>
      </c>
      <c r="T203">
        <v>0</v>
      </c>
      <c r="U203" s="12">
        <f t="shared" si="164"/>
        <v>2.0078767123287672E-3</v>
      </c>
      <c r="V203" s="193">
        <f t="shared" si="165"/>
        <v>5.1479999999999997</v>
      </c>
      <c r="W203" s="19">
        <v>0</v>
      </c>
      <c r="X203" s="19" t="s">
        <v>356</v>
      </c>
      <c r="Y203" s="19" t="s">
        <v>356</v>
      </c>
      <c r="Z203" s="19" t="s">
        <v>356</v>
      </c>
      <c r="AA203" s="19" t="s">
        <v>356</v>
      </c>
      <c r="AB203" s="5" t="s">
        <v>380</v>
      </c>
    </row>
    <row r="204" spans="2:29" x14ac:dyDescent="0.3">
      <c r="B204" s="150" t="s">
        <v>89</v>
      </c>
      <c r="C204" s="30">
        <v>10500</v>
      </c>
      <c r="D204" s="35" t="s">
        <v>356</v>
      </c>
      <c r="E204" s="31" t="s">
        <v>357</v>
      </c>
      <c r="F204" s="31" t="s">
        <v>356</v>
      </c>
      <c r="G204" s="31" t="s">
        <v>71</v>
      </c>
      <c r="H204" s="43" t="s">
        <v>377</v>
      </c>
      <c r="I204" s="43" t="s">
        <v>377</v>
      </c>
      <c r="J204" s="76" t="s">
        <v>378</v>
      </c>
      <c r="K204" s="30" t="s">
        <v>356</v>
      </c>
      <c r="L204" s="30" t="s">
        <v>356</v>
      </c>
      <c r="M204" s="31" t="s">
        <v>71</v>
      </c>
      <c r="N204" s="34">
        <v>414</v>
      </c>
      <c r="O204" s="43" t="s">
        <v>356</v>
      </c>
      <c r="P204" s="32" t="s">
        <v>381</v>
      </c>
      <c r="Q204" s="278"/>
      <c r="R204" s="35">
        <v>25</v>
      </c>
      <c r="S204" s="35" t="s">
        <v>379</v>
      </c>
      <c r="T204" s="35">
        <v>0</v>
      </c>
      <c r="U204" s="164">
        <f t="shared" si="164"/>
        <v>1.937671232876712E-3</v>
      </c>
      <c r="V204" s="194">
        <f t="shared" si="165"/>
        <v>4.968</v>
      </c>
      <c r="W204" s="31">
        <v>0</v>
      </c>
      <c r="X204" s="31" t="s">
        <v>356</v>
      </c>
      <c r="Y204" s="31" t="s">
        <v>356</v>
      </c>
      <c r="Z204" s="31" t="s">
        <v>356</v>
      </c>
      <c r="AA204" s="31" t="s">
        <v>356</v>
      </c>
      <c r="AB204" s="32" t="s">
        <v>380</v>
      </c>
      <c r="AC204" s="35"/>
    </row>
    <row r="205" spans="2:29" ht="72" x14ac:dyDescent="0.3">
      <c r="B205" s="151" t="s">
        <v>93</v>
      </c>
      <c r="C205" s="35" t="s">
        <v>321</v>
      </c>
      <c r="D205" s="35" t="s">
        <v>356</v>
      </c>
      <c r="E205" s="31" t="s">
        <v>357</v>
      </c>
      <c r="F205" s="31" t="s">
        <v>356</v>
      </c>
      <c r="G205" s="31" t="s">
        <v>71</v>
      </c>
      <c r="H205" s="43" t="s">
        <v>382</v>
      </c>
      <c r="I205" s="43" t="s">
        <v>383</v>
      </c>
      <c r="J205" s="76" t="s">
        <v>1461</v>
      </c>
      <c r="K205" s="30" t="s">
        <v>356</v>
      </c>
      <c r="L205" s="30" t="s">
        <v>356</v>
      </c>
      <c r="M205" s="31" t="s">
        <v>71</v>
      </c>
      <c r="N205" s="32" t="s">
        <v>384</v>
      </c>
      <c r="O205" s="43" t="s">
        <v>356</v>
      </c>
      <c r="P205" s="32" t="s">
        <v>1462</v>
      </c>
      <c r="Q205" s="36" t="s">
        <v>71</v>
      </c>
      <c r="R205" s="35">
        <v>30</v>
      </c>
      <c r="S205" s="35" t="s">
        <v>385</v>
      </c>
      <c r="T205" s="32" t="s">
        <v>497</v>
      </c>
      <c r="U205" s="164">
        <f>7254*45%/(8760*45%*30)+0</f>
        <v>2.7602739726027399E-2</v>
      </c>
      <c r="V205" s="165" t="s">
        <v>498</v>
      </c>
      <c r="W205" s="31">
        <v>0</v>
      </c>
      <c r="X205" s="31" t="s">
        <v>356</v>
      </c>
      <c r="Y205" s="31" t="s">
        <v>356</v>
      </c>
      <c r="Z205" s="31" t="s">
        <v>356</v>
      </c>
      <c r="AA205" s="31" t="s">
        <v>356</v>
      </c>
      <c r="AB205" s="32" t="s">
        <v>1463</v>
      </c>
    </row>
    <row r="206" spans="2:29" x14ac:dyDescent="0.3">
      <c r="B206" s="1" t="s">
        <v>386</v>
      </c>
    </row>
    <row r="207" spans="2:29" ht="42.6" customHeight="1" x14ac:dyDescent="0.3">
      <c r="B207" s="226" t="s">
        <v>499</v>
      </c>
      <c r="C207" t="s">
        <v>500</v>
      </c>
      <c r="D207" t="s">
        <v>356</v>
      </c>
      <c r="E207" s="19" t="s">
        <v>357</v>
      </c>
      <c r="F207" s="19" t="s">
        <v>356</v>
      </c>
      <c r="G207" s="19" t="s">
        <v>71</v>
      </c>
      <c r="H207" s="4" t="s">
        <v>387</v>
      </c>
      <c r="I207" s="4" t="s">
        <v>387</v>
      </c>
      <c r="J207" s="8" t="s">
        <v>388</v>
      </c>
      <c r="K207" s="19" t="s">
        <v>389</v>
      </c>
      <c r="L207" s="19" t="s">
        <v>389</v>
      </c>
      <c r="M207" s="19" t="s">
        <v>390</v>
      </c>
      <c r="N207">
        <v>4971</v>
      </c>
      <c r="O207" s="21" t="s">
        <v>356</v>
      </c>
      <c r="P207" s="5" t="s">
        <v>391</v>
      </c>
      <c r="Q207" s="279" t="s">
        <v>392</v>
      </c>
      <c r="R207">
        <v>13</v>
      </c>
      <c r="S207" s="3" t="s">
        <v>393</v>
      </c>
      <c r="T207" s="5">
        <v>5.5129999999999997E-3</v>
      </c>
      <c r="U207" s="12">
        <f t="shared" ref="U207:U218" si="166">$N207*70%/(8760*16.7%*13)+$T207</f>
        <v>0.18848215126543541</v>
      </c>
      <c r="V207" s="5" t="s">
        <v>501</v>
      </c>
      <c r="W207" s="19" t="s">
        <v>356</v>
      </c>
      <c r="X207" s="19" t="s">
        <v>356</v>
      </c>
      <c r="Y207" s="19" t="s">
        <v>356</v>
      </c>
      <c r="Z207" s="19" t="s">
        <v>356</v>
      </c>
      <c r="AA207" s="19" t="s">
        <v>356</v>
      </c>
      <c r="AB207" s="5" t="s">
        <v>394</v>
      </c>
    </row>
    <row r="208" spans="2:29" ht="43.2" x14ac:dyDescent="0.3">
      <c r="B208" s="171" t="s">
        <v>499</v>
      </c>
      <c r="C208" t="s">
        <v>502</v>
      </c>
      <c r="D208" t="s">
        <v>356</v>
      </c>
      <c r="E208" s="19" t="s">
        <v>357</v>
      </c>
      <c r="F208" s="19" t="s">
        <v>356</v>
      </c>
      <c r="G208" s="19" t="s">
        <v>71</v>
      </c>
      <c r="H208" s="4" t="s">
        <v>387</v>
      </c>
      <c r="I208" s="4" t="s">
        <v>387</v>
      </c>
      <c r="J208" s="8" t="s">
        <v>388</v>
      </c>
      <c r="K208" s="19" t="s">
        <v>389</v>
      </c>
      <c r="L208" s="19" t="s">
        <v>389</v>
      </c>
      <c r="M208" s="19" t="s">
        <v>390</v>
      </c>
      <c r="N208">
        <v>4003</v>
      </c>
      <c r="O208" s="21" t="s">
        <v>356</v>
      </c>
      <c r="P208" s="5" t="s">
        <v>391</v>
      </c>
      <c r="Q208" s="279"/>
      <c r="R208">
        <v>13</v>
      </c>
      <c r="S208" s="3" t="s">
        <v>393</v>
      </c>
      <c r="T208" s="5">
        <v>5.5129999999999997E-3</v>
      </c>
      <c r="U208" s="12">
        <f t="shared" si="166"/>
        <v>0.15285267260421201</v>
      </c>
      <c r="V208" s="227" t="s">
        <v>503</v>
      </c>
      <c r="W208" s="19" t="s">
        <v>356</v>
      </c>
      <c r="X208" s="19" t="s">
        <v>356</v>
      </c>
      <c r="Y208" s="19" t="s">
        <v>356</v>
      </c>
      <c r="Z208" s="19" t="s">
        <v>356</v>
      </c>
      <c r="AA208" s="19" t="s">
        <v>356</v>
      </c>
      <c r="AB208" s="5" t="s">
        <v>394</v>
      </c>
    </row>
    <row r="209" spans="2:29" ht="43.2" x14ac:dyDescent="0.3">
      <c r="B209" s="172" t="s">
        <v>504</v>
      </c>
      <c r="C209" t="s">
        <v>505</v>
      </c>
      <c r="D209" t="s">
        <v>356</v>
      </c>
      <c r="E209" s="19" t="s">
        <v>357</v>
      </c>
      <c r="F209" s="19" t="s">
        <v>356</v>
      </c>
      <c r="G209" s="19" t="s">
        <v>71</v>
      </c>
      <c r="H209" s="4" t="s">
        <v>387</v>
      </c>
      <c r="I209" s="4" t="s">
        <v>387</v>
      </c>
      <c r="J209" s="8" t="s">
        <v>388</v>
      </c>
      <c r="K209" s="19" t="s">
        <v>389</v>
      </c>
      <c r="L209" s="19" t="s">
        <v>389</v>
      </c>
      <c r="M209" s="19" t="s">
        <v>390</v>
      </c>
      <c r="N209">
        <v>3448</v>
      </c>
      <c r="O209" s="21" t="s">
        <v>356</v>
      </c>
      <c r="P209" s="5" t="s">
        <v>506</v>
      </c>
      <c r="Q209" s="279"/>
      <c r="R209">
        <v>13</v>
      </c>
      <c r="S209" s="3" t="s">
        <v>393</v>
      </c>
      <c r="T209" s="5">
        <v>5.5129999999999997E-3</v>
      </c>
      <c r="U209" s="12">
        <f t="shared" si="166"/>
        <v>0.13242461407427505</v>
      </c>
      <c r="V209" s="227" t="s">
        <v>507</v>
      </c>
      <c r="W209" s="19" t="s">
        <v>356</v>
      </c>
      <c r="X209" s="19" t="s">
        <v>356</v>
      </c>
      <c r="Y209" s="19" t="s">
        <v>356</v>
      </c>
      <c r="Z209" s="19" t="s">
        <v>356</v>
      </c>
      <c r="AA209" s="19" t="s">
        <v>356</v>
      </c>
      <c r="AB209" s="5" t="s">
        <v>508</v>
      </c>
    </row>
    <row r="210" spans="2:29" ht="43.2" x14ac:dyDescent="0.3">
      <c r="B210" s="226" t="s">
        <v>504</v>
      </c>
      <c r="C210" t="s">
        <v>509</v>
      </c>
      <c r="D210" t="s">
        <v>356</v>
      </c>
      <c r="E210" s="19" t="s">
        <v>357</v>
      </c>
      <c r="F210" s="19" t="s">
        <v>356</v>
      </c>
      <c r="G210" s="19" t="s">
        <v>71</v>
      </c>
      <c r="H210" s="4" t="s">
        <v>387</v>
      </c>
      <c r="I210" s="4" t="s">
        <v>387</v>
      </c>
      <c r="J210" s="8" t="s">
        <v>388</v>
      </c>
      <c r="K210" s="19" t="s">
        <v>389</v>
      </c>
      <c r="L210" s="19" t="s">
        <v>389</v>
      </c>
      <c r="M210" s="19" t="s">
        <v>390</v>
      </c>
      <c r="N210">
        <v>2877</v>
      </c>
      <c r="O210" s="21" t="s">
        <v>356</v>
      </c>
      <c r="P210" s="5" t="s">
        <v>506</v>
      </c>
      <c r="Q210" s="279"/>
      <c r="R210">
        <v>13</v>
      </c>
      <c r="S210" s="3" t="s">
        <v>393</v>
      </c>
      <c r="T210" s="5">
        <v>5.5129999999999997E-3</v>
      </c>
      <c r="U210" s="12">
        <f t="shared" si="166"/>
        <v>0.11140763854167324</v>
      </c>
      <c r="V210" s="227" t="s">
        <v>510</v>
      </c>
      <c r="W210" s="19" t="s">
        <v>356</v>
      </c>
      <c r="X210" s="19" t="s">
        <v>356</v>
      </c>
      <c r="Y210" s="19" t="s">
        <v>356</v>
      </c>
      <c r="Z210" s="19" t="s">
        <v>356</v>
      </c>
      <c r="AA210" s="19" t="s">
        <v>356</v>
      </c>
      <c r="AB210" s="5" t="s">
        <v>508</v>
      </c>
    </row>
    <row r="211" spans="2:29" ht="43.2" x14ac:dyDescent="0.3">
      <c r="B211" s="226" t="s">
        <v>504</v>
      </c>
      <c r="C211" t="s">
        <v>511</v>
      </c>
      <c r="D211" t="s">
        <v>356</v>
      </c>
      <c r="E211" s="19" t="s">
        <v>357</v>
      </c>
      <c r="F211" s="19" t="s">
        <v>356</v>
      </c>
      <c r="G211" s="19" t="s">
        <v>71</v>
      </c>
      <c r="H211" s="4" t="s">
        <v>387</v>
      </c>
      <c r="I211" s="4" t="s">
        <v>387</v>
      </c>
      <c r="J211" s="8" t="s">
        <v>388</v>
      </c>
      <c r="K211" s="19" t="s">
        <v>389</v>
      </c>
      <c r="L211" s="19" t="s">
        <v>389</v>
      </c>
      <c r="M211" s="19" t="s">
        <v>390</v>
      </c>
      <c r="N211">
        <v>2306</v>
      </c>
      <c r="O211" s="21" t="s">
        <v>356</v>
      </c>
      <c r="P211" s="5" t="s">
        <v>506</v>
      </c>
      <c r="Q211" s="279"/>
      <c r="R211">
        <v>13</v>
      </c>
      <c r="S211" s="3" t="s">
        <v>393</v>
      </c>
      <c r="T211" s="5">
        <v>5.5129999999999997E-3</v>
      </c>
      <c r="U211" s="12">
        <f t="shared" si="166"/>
        <v>9.039066300907142E-2</v>
      </c>
      <c r="V211" s="227" t="s">
        <v>512</v>
      </c>
      <c r="W211" s="19" t="s">
        <v>356</v>
      </c>
      <c r="X211" s="19" t="s">
        <v>356</v>
      </c>
      <c r="Y211" s="19" t="s">
        <v>356</v>
      </c>
      <c r="Z211" s="19" t="s">
        <v>356</v>
      </c>
      <c r="AA211" s="19" t="s">
        <v>356</v>
      </c>
      <c r="AB211" s="5" t="s">
        <v>508</v>
      </c>
    </row>
    <row r="212" spans="2:29" ht="43.2" x14ac:dyDescent="0.3">
      <c r="B212" s="226" t="s">
        <v>504</v>
      </c>
      <c r="C212" t="s">
        <v>513</v>
      </c>
      <c r="D212" t="s">
        <v>356</v>
      </c>
      <c r="E212" s="19" t="s">
        <v>357</v>
      </c>
      <c r="F212" s="19" t="s">
        <v>356</v>
      </c>
      <c r="G212" s="19" t="s">
        <v>71</v>
      </c>
      <c r="H212" s="4" t="s">
        <v>387</v>
      </c>
      <c r="I212" s="4" t="s">
        <v>387</v>
      </c>
      <c r="J212" s="8" t="s">
        <v>388</v>
      </c>
      <c r="K212" s="19" t="s">
        <v>389</v>
      </c>
      <c r="L212" s="19" t="s">
        <v>389</v>
      </c>
      <c r="M212" s="19" t="s">
        <v>390</v>
      </c>
      <c r="N212">
        <v>1735</v>
      </c>
      <c r="O212" s="21" t="s">
        <v>356</v>
      </c>
      <c r="P212" s="5" t="s">
        <v>506</v>
      </c>
      <c r="Q212" s="279"/>
      <c r="R212">
        <v>13</v>
      </c>
      <c r="S212" s="3" t="s">
        <v>393</v>
      </c>
      <c r="T212" s="5">
        <v>5.5129999999999997E-3</v>
      </c>
      <c r="U212" s="12">
        <f t="shared" si="166"/>
        <v>6.9373687476469617E-2</v>
      </c>
      <c r="V212" s="227" t="s">
        <v>514</v>
      </c>
      <c r="W212" s="19" t="s">
        <v>356</v>
      </c>
      <c r="X212" s="19" t="s">
        <v>356</v>
      </c>
      <c r="Y212" s="19" t="s">
        <v>356</v>
      </c>
      <c r="Z212" s="19" t="s">
        <v>356</v>
      </c>
      <c r="AA212" s="19" t="s">
        <v>356</v>
      </c>
      <c r="AB212" s="5" t="s">
        <v>508</v>
      </c>
    </row>
    <row r="213" spans="2:29" ht="43.2" x14ac:dyDescent="0.3">
      <c r="B213" s="171" t="s">
        <v>504</v>
      </c>
      <c r="C213" t="s">
        <v>515</v>
      </c>
      <c r="D213" t="s">
        <v>356</v>
      </c>
      <c r="E213" s="19" t="s">
        <v>357</v>
      </c>
      <c r="F213" s="19" t="s">
        <v>356</v>
      </c>
      <c r="G213" s="19" t="s">
        <v>71</v>
      </c>
      <c r="H213" s="4" t="s">
        <v>387</v>
      </c>
      <c r="I213" s="4" t="s">
        <v>387</v>
      </c>
      <c r="J213" s="8" t="s">
        <v>388</v>
      </c>
      <c r="K213" s="19" t="s">
        <v>389</v>
      </c>
      <c r="L213" s="19" t="s">
        <v>389</v>
      </c>
      <c r="M213" s="19" t="s">
        <v>390</v>
      </c>
      <c r="N213">
        <v>1450</v>
      </c>
      <c r="O213" s="21" t="s">
        <v>356</v>
      </c>
      <c r="P213" s="5" t="s">
        <v>506</v>
      </c>
      <c r="Q213" s="279"/>
      <c r="R213">
        <v>13</v>
      </c>
      <c r="S213" s="3" t="s">
        <v>393</v>
      </c>
      <c r="T213" s="5">
        <v>5.5129999999999997E-3</v>
      </c>
      <c r="U213" s="12">
        <f t="shared" si="166"/>
        <v>5.8883603366501974E-2</v>
      </c>
      <c r="V213" s="227" t="s">
        <v>516</v>
      </c>
      <c r="W213" s="19" t="s">
        <v>356</v>
      </c>
      <c r="X213" s="19" t="s">
        <v>356</v>
      </c>
      <c r="Y213" s="19" t="s">
        <v>356</v>
      </c>
      <c r="Z213" s="19" t="s">
        <v>356</v>
      </c>
      <c r="AA213" s="19" t="s">
        <v>356</v>
      </c>
      <c r="AB213" s="5" t="s">
        <v>508</v>
      </c>
    </row>
    <row r="214" spans="2:29" ht="43.2" x14ac:dyDescent="0.3">
      <c r="B214" s="172" t="s">
        <v>517</v>
      </c>
      <c r="C214" t="s">
        <v>518</v>
      </c>
      <c r="D214" t="s">
        <v>356</v>
      </c>
      <c r="E214" s="19" t="s">
        <v>357</v>
      </c>
      <c r="F214" s="19" t="s">
        <v>356</v>
      </c>
      <c r="G214" s="19" t="s">
        <v>71</v>
      </c>
      <c r="H214" s="4" t="s">
        <v>387</v>
      </c>
      <c r="I214" s="4" t="s">
        <v>387</v>
      </c>
      <c r="J214" s="8" t="s">
        <v>388</v>
      </c>
      <c r="K214" s="19" t="s">
        <v>389</v>
      </c>
      <c r="L214" s="19" t="s">
        <v>389</v>
      </c>
      <c r="M214" s="19" t="s">
        <v>390</v>
      </c>
      <c r="N214">
        <v>4532</v>
      </c>
      <c r="O214" s="21" t="s">
        <v>356</v>
      </c>
      <c r="P214" s="5" t="s">
        <v>519</v>
      </c>
      <c r="Q214" s="279"/>
      <c r="R214">
        <v>13</v>
      </c>
      <c r="S214" s="3" t="s">
        <v>393</v>
      </c>
      <c r="T214" s="5">
        <v>5.5129999999999997E-3</v>
      </c>
      <c r="U214" s="12">
        <f t="shared" si="166"/>
        <v>0.17232374100481859</v>
      </c>
      <c r="V214" s="5" t="s">
        <v>520</v>
      </c>
      <c r="W214" s="19" t="s">
        <v>356</v>
      </c>
      <c r="X214" s="19" t="s">
        <v>356</v>
      </c>
      <c r="Y214" s="19" t="s">
        <v>356</v>
      </c>
      <c r="Z214" s="19" t="s">
        <v>356</v>
      </c>
      <c r="AA214" s="19" t="s">
        <v>356</v>
      </c>
      <c r="AB214" s="5" t="s">
        <v>521</v>
      </c>
    </row>
    <row r="215" spans="2:29" ht="43.2" x14ac:dyDescent="0.3">
      <c r="B215" s="226" t="s">
        <v>517</v>
      </c>
      <c r="C215" t="s">
        <v>522</v>
      </c>
      <c r="D215" t="s">
        <v>356</v>
      </c>
      <c r="E215" s="19" t="s">
        <v>357</v>
      </c>
      <c r="F215" s="19" t="s">
        <v>356</v>
      </c>
      <c r="G215" s="19" t="s">
        <v>71</v>
      </c>
      <c r="H215" s="4" t="s">
        <v>387</v>
      </c>
      <c r="I215" s="4" t="s">
        <v>387</v>
      </c>
      <c r="J215" s="8" t="s">
        <v>388</v>
      </c>
      <c r="K215" s="19" t="s">
        <v>389</v>
      </c>
      <c r="L215" s="19" t="s">
        <v>389</v>
      </c>
      <c r="M215" s="19" t="s">
        <v>390</v>
      </c>
      <c r="N215">
        <v>3722</v>
      </c>
      <c r="O215" s="21" t="s">
        <v>356</v>
      </c>
      <c r="P215" s="5" t="s">
        <v>519</v>
      </c>
      <c r="Q215" s="279"/>
      <c r="R215">
        <v>13</v>
      </c>
      <c r="S215" s="3" t="s">
        <v>393</v>
      </c>
      <c r="T215" s="5">
        <v>5.5129999999999997E-3</v>
      </c>
      <c r="U215" s="12">
        <f t="shared" si="166"/>
        <v>0.14250981774491059</v>
      </c>
      <c r="V215" s="227" t="s">
        <v>523</v>
      </c>
      <c r="W215" s="19" t="s">
        <v>356</v>
      </c>
      <c r="X215" s="19" t="s">
        <v>356</v>
      </c>
      <c r="Y215" s="19" t="s">
        <v>356</v>
      </c>
      <c r="Z215" s="19" t="s">
        <v>356</v>
      </c>
      <c r="AA215" s="19" t="s">
        <v>356</v>
      </c>
      <c r="AB215" s="5" t="s">
        <v>521</v>
      </c>
    </row>
    <row r="216" spans="2:29" ht="43.2" x14ac:dyDescent="0.3">
      <c r="B216" s="226" t="s">
        <v>517</v>
      </c>
      <c r="C216" t="s">
        <v>524</v>
      </c>
      <c r="D216" t="s">
        <v>356</v>
      </c>
      <c r="E216" s="19" t="s">
        <v>357</v>
      </c>
      <c r="F216" s="19" t="s">
        <v>356</v>
      </c>
      <c r="G216" s="19" t="s">
        <v>71</v>
      </c>
      <c r="H216" s="4" t="s">
        <v>387</v>
      </c>
      <c r="I216" s="4" t="s">
        <v>387</v>
      </c>
      <c r="J216" s="8" t="s">
        <v>388</v>
      </c>
      <c r="K216" s="19" t="s">
        <v>389</v>
      </c>
      <c r="L216" s="19" t="s">
        <v>389</v>
      </c>
      <c r="M216" s="19" t="s">
        <v>390</v>
      </c>
      <c r="N216">
        <v>2911</v>
      </c>
      <c r="O216" s="21" t="s">
        <v>356</v>
      </c>
      <c r="P216" s="5" t="s">
        <v>519</v>
      </c>
      <c r="Q216" s="279"/>
      <c r="R216">
        <v>13</v>
      </c>
      <c r="S216" s="3" t="s">
        <v>393</v>
      </c>
      <c r="T216" s="5">
        <v>5.5129999999999997E-3</v>
      </c>
      <c r="U216" s="12">
        <f t="shared" si="166"/>
        <v>0.11265908717233604</v>
      </c>
      <c r="V216" s="227" t="s">
        <v>525</v>
      </c>
      <c r="W216" s="19" t="s">
        <v>356</v>
      </c>
      <c r="X216" s="19" t="s">
        <v>356</v>
      </c>
      <c r="Y216" s="19" t="s">
        <v>356</v>
      </c>
      <c r="Z216" s="19" t="s">
        <v>356</v>
      </c>
      <c r="AA216" s="19" t="s">
        <v>356</v>
      </c>
      <c r="AB216" s="5" t="s">
        <v>521</v>
      </c>
    </row>
    <row r="217" spans="2:29" ht="43.2" x14ac:dyDescent="0.3">
      <c r="B217" s="226" t="s">
        <v>517</v>
      </c>
      <c r="C217" t="s">
        <v>526</v>
      </c>
      <c r="D217" t="s">
        <v>356</v>
      </c>
      <c r="E217" s="19" t="s">
        <v>357</v>
      </c>
      <c r="F217" s="19" t="s">
        <v>356</v>
      </c>
      <c r="G217" s="19" t="s">
        <v>71</v>
      </c>
      <c r="H217" s="4" t="s">
        <v>387</v>
      </c>
      <c r="I217" s="4" t="s">
        <v>387</v>
      </c>
      <c r="J217" s="8" t="s">
        <v>388</v>
      </c>
      <c r="K217" s="19" t="s">
        <v>389</v>
      </c>
      <c r="L217" s="19" t="s">
        <v>389</v>
      </c>
      <c r="M217" s="19" t="s">
        <v>390</v>
      </c>
      <c r="N217">
        <v>2101</v>
      </c>
      <c r="O217" s="21" t="s">
        <v>356</v>
      </c>
      <c r="P217" s="5" t="s">
        <v>519</v>
      </c>
      <c r="Q217" s="279"/>
      <c r="R217">
        <v>13</v>
      </c>
      <c r="S217" s="3" t="s">
        <v>393</v>
      </c>
      <c r="T217" s="5">
        <v>5.5129999999999997E-3</v>
      </c>
      <c r="U217" s="12">
        <f t="shared" si="166"/>
        <v>8.2845163912428035E-2</v>
      </c>
      <c r="V217" s="227" t="s">
        <v>527</v>
      </c>
      <c r="W217" s="19" t="s">
        <v>356</v>
      </c>
      <c r="X217" s="19" t="s">
        <v>356</v>
      </c>
      <c r="Y217" s="19" t="s">
        <v>356</v>
      </c>
      <c r="Z217" s="19" t="s">
        <v>356</v>
      </c>
      <c r="AA217" s="19" t="s">
        <v>356</v>
      </c>
      <c r="AB217" s="5" t="s">
        <v>521</v>
      </c>
    </row>
    <row r="218" spans="2:29" ht="43.2" x14ac:dyDescent="0.3">
      <c r="B218" s="171" t="s">
        <v>517</v>
      </c>
      <c r="C218" s="35" t="s">
        <v>528</v>
      </c>
      <c r="D218" s="35" t="s">
        <v>356</v>
      </c>
      <c r="E218" s="31" t="s">
        <v>357</v>
      </c>
      <c r="F218" s="31" t="s">
        <v>356</v>
      </c>
      <c r="G218" s="31" t="s">
        <v>71</v>
      </c>
      <c r="H218" s="34" t="s">
        <v>387</v>
      </c>
      <c r="I218" s="34" t="s">
        <v>387</v>
      </c>
      <c r="J218" s="76" t="s">
        <v>388</v>
      </c>
      <c r="K218" s="31" t="s">
        <v>389</v>
      </c>
      <c r="L218" s="31" t="s">
        <v>389</v>
      </c>
      <c r="M218" s="31" t="s">
        <v>390</v>
      </c>
      <c r="N218" s="35">
        <v>1290</v>
      </c>
      <c r="O218" s="43" t="s">
        <v>356</v>
      </c>
      <c r="P218" s="32" t="s">
        <v>519</v>
      </c>
      <c r="Q218" s="280"/>
      <c r="R218" s="35">
        <v>13</v>
      </c>
      <c r="S218" s="30" t="s">
        <v>393</v>
      </c>
      <c r="T218" s="5">
        <v>5.5129999999999997E-3</v>
      </c>
      <c r="U218" s="164">
        <f t="shared" si="166"/>
        <v>5.2994433339853479E-2</v>
      </c>
      <c r="V218" s="165" t="s">
        <v>529</v>
      </c>
      <c r="W218" s="31" t="s">
        <v>356</v>
      </c>
      <c r="X218" s="31" t="s">
        <v>356</v>
      </c>
      <c r="Y218" s="31" t="s">
        <v>356</v>
      </c>
      <c r="Z218" s="31" t="s">
        <v>356</v>
      </c>
      <c r="AA218" s="31" t="s">
        <v>356</v>
      </c>
      <c r="AB218" s="32" t="s">
        <v>521</v>
      </c>
      <c r="AC218" s="35"/>
    </row>
    <row r="219" spans="2:29" ht="28.8" x14ac:dyDescent="0.3">
      <c r="B219" s="228" t="s">
        <v>530</v>
      </c>
      <c r="C219" s="186" t="s">
        <v>531</v>
      </c>
      <c r="D219" s="186" t="s">
        <v>356</v>
      </c>
      <c r="E219" s="220" t="s">
        <v>357</v>
      </c>
      <c r="F219" s="220" t="s">
        <v>356</v>
      </c>
      <c r="G219" s="220" t="s">
        <v>71</v>
      </c>
      <c r="H219" s="216" t="s">
        <v>395</v>
      </c>
      <c r="I219" s="216" t="s">
        <v>395</v>
      </c>
      <c r="J219" s="179" t="s">
        <v>1435</v>
      </c>
      <c r="K219" s="220" t="s">
        <v>396</v>
      </c>
      <c r="L219" s="220" t="s">
        <v>396</v>
      </c>
      <c r="M219" s="220" t="s">
        <v>1428</v>
      </c>
      <c r="N219" s="195" t="s">
        <v>532</v>
      </c>
      <c r="O219" s="182" t="s">
        <v>356</v>
      </c>
      <c r="P219" s="186" t="s">
        <v>397</v>
      </c>
      <c r="Q219" s="281" t="s">
        <v>71</v>
      </c>
      <c r="R219" s="216" t="s">
        <v>398</v>
      </c>
      <c r="S219" s="179" t="s">
        <v>397</v>
      </c>
      <c r="T219" s="182" t="s">
        <v>533</v>
      </c>
      <c r="U219" s="197">
        <f>22%*35/135</f>
        <v>5.7037037037037039E-2</v>
      </c>
      <c r="V219" s="181" t="s">
        <v>534</v>
      </c>
      <c r="W219" s="220">
        <v>0</v>
      </c>
      <c r="X219" s="220" t="s">
        <v>356</v>
      </c>
      <c r="Y219" s="220" t="s">
        <v>356</v>
      </c>
      <c r="Z219" s="220" t="s">
        <v>356</v>
      </c>
      <c r="AA219" s="220" t="s">
        <v>356</v>
      </c>
      <c r="AB219" s="186" t="s">
        <v>399</v>
      </c>
      <c r="AC219" s="186"/>
    </row>
    <row r="220" spans="2:29" ht="28.8" x14ac:dyDescent="0.3">
      <c r="B220" s="229" t="s">
        <v>530</v>
      </c>
      <c r="C220" t="s">
        <v>535</v>
      </c>
      <c r="D220" t="s">
        <v>356</v>
      </c>
      <c r="E220" s="19" t="s">
        <v>357</v>
      </c>
      <c r="F220" s="19" t="s">
        <v>356</v>
      </c>
      <c r="G220" s="19" t="s">
        <v>71</v>
      </c>
      <c r="H220" s="125" t="s">
        <v>395</v>
      </c>
      <c r="I220" s="125" t="s">
        <v>395</v>
      </c>
      <c r="J220" s="3" t="s">
        <v>1435</v>
      </c>
      <c r="K220" s="19" t="s">
        <v>396</v>
      </c>
      <c r="L220" s="19" t="s">
        <v>396</v>
      </c>
      <c r="M220" s="19" t="s">
        <v>1428</v>
      </c>
      <c r="N220" s="8" t="s">
        <v>536</v>
      </c>
      <c r="O220" s="21" t="s">
        <v>356</v>
      </c>
      <c r="P220" s="3" t="s">
        <v>537</v>
      </c>
      <c r="Q220" s="279"/>
      <c r="R220" s="125" t="s">
        <v>398</v>
      </c>
      <c r="S220" s="3" t="s">
        <v>397</v>
      </c>
      <c r="T220" s="21" t="s">
        <v>533</v>
      </c>
      <c r="U220" s="12">
        <f>22%*26.37/135</f>
        <v>4.2973333333333336E-2</v>
      </c>
      <c r="V220" s="5" t="s">
        <v>538</v>
      </c>
      <c r="W220" s="19">
        <v>0</v>
      </c>
      <c r="X220" s="19" t="s">
        <v>356</v>
      </c>
      <c r="Y220" s="19" t="s">
        <v>356</v>
      </c>
      <c r="Z220" s="19" t="s">
        <v>356</v>
      </c>
      <c r="AA220" s="19" t="s">
        <v>356</v>
      </c>
      <c r="AB220" t="s">
        <v>399</v>
      </c>
    </row>
    <row r="221" spans="2:29" ht="28.8" x14ac:dyDescent="0.3">
      <c r="B221" s="155" t="s">
        <v>96</v>
      </c>
      <c r="C221" s="35" t="s">
        <v>321</v>
      </c>
      <c r="D221" s="35" t="s">
        <v>356</v>
      </c>
      <c r="E221" s="31" t="s">
        <v>357</v>
      </c>
      <c r="F221" s="31" t="s">
        <v>356</v>
      </c>
      <c r="G221" s="31" t="s">
        <v>71</v>
      </c>
      <c r="H221" s="126" t="s">
        <v>395</v>
      </c>
      <c r="I221" s="126" t="s">
        <v>395</v>
      </c>
      <c r="J221" s="30" t="s">
        <v>1435</v>
      </c>
      <c r="K221" s="31" t="s">
        <v>396</v>
      </c>
      <c r="L221" s="31" t="s">
        <v>396</v>
      </c>
      <c r="M221" s="31" t="s">
        <v>1428</v>
      </c>
      <c r="N221" s="76" t="s">
        <v>539</v>
      </c>
      <c r="O221" s="43" t="s">
        <v>356</v>
      </c>
      <c r="P221" s="30" t="s">
        <v>385</v>
      </c>
      <c r="Q221" s="280"/>
      <c r="R221" s="126" t="s">
        <v>398</v>
      </c>
      <c r="S221" s="30" t="s">
        <v>397</v>
      </c>
      <c r="T221" s="43" t="s">
        <v>533</v>
      </c>
      <c r="U221" s="164">
        <f>22%*29/135</f>
        <v>4.7259259259259258E-2</v>
      </c>
      <c r="V221" s="32" t="s">
        <v>540</v>
      </c>
      <c r="W221" s="31">
        <v>0</v>
      </c>
      <c r="X221" s="31" t="s">
        <v>356</v>
      </c>
      <c r="Y221" s="31" t="s">
        <v>356</v>
      </c>
      <c r="Z221" s="31" t="s">
        <v>356</v>
      </c>
      <c r="AA221" s="31" t="s">
        <v>356</v>
      </c>
      <c r="AB221" s="35" t="s">
        <v>399</v>
      </c>
      <c r="AC221" s="35"/>
    </row>
    <row r="222" spans="2:29" ht="28.8" x14ac:dyDescent="0.3">
      <c r="B222" s="230" t="s">
        <v>400</v>
      </c>
      <c r="C222" s="186" t="s">
        <v>321</v>
      </c>
      <c r="D222" s="186" t="s">
        <v>356</v>
      </c>
      <c r="E222" s="220" t="s">
        <v>357</v>
      </c>
      <c r="F222" s="220" t="s">
        <v>356</v>
      </c>
      <c r="G222" s="220" t="s">
        <v>71</v>
      </c>
      <c r="H222" s="184" t="s">
        <v>401</v>
      </c>
      <c r="I222" s="184" t="s">
        <v>401</v>
      </c>
      <c r="J222" s="195" t="s">
        <v>1433</v>
      </c>
      <c r="K222" s="220" t="s">
        <v>402</v>
      </c>
      <c r="L222" s="220" t="s">
        <v>402</v>
      </c>
      <c r="M222" s="220" t="s">
        <v>1429</v>
      </c>
      <c r="N222" s="186" t="s">
        <v>403</v>
      </c>
      <c r="O222" s="182" t="s">
        <v>356</v>
      </c>
      <c r="P222" s="186" t="s">
        <v>404</v>
      </c>
      <c r="Q222" s="276" t="s">
        <v>71</v>
      </c>
      <c r="R222" s="186">
        <v>15</v>
      </c>
      <c r="S222" s="179" t="s">
        <v>405</v>
      </c>
      <c r="T222" s="182" t="s">
        <v>396</v>
      </c>
      <c r="U222" s="197">
        <f>12.09*51%/637.5</f>
        <v>9.672E-3</v>
      </c>
      <c r="V222" s="181" t="s">
        <v>406</v>
      </c>
      <c r="W222" s="220">
        <v>0</v>
      </c>
      <c r="X222" s="220" t="s">
        <v>356</v>
      </c>
      <c r="Y222" s="220" t="s">
        <v>356</v>
      </c>
      <c r="Z222" s="220" t="s">
        <v>356</v>
      </c>
      <c r="AA222" s="220" t="s">
        <v>356</v>
      </c>
      <c r="AB222" s="186" t="s">
        <v>407</v>
      </c>
      <c r="AC222" s="186"/>
    </row>
    <row r="223" spans="2:29" ht="28.8" x14ac:dyDescent="0.3">
      <c r="B223" s="173" t="s">
        <v>100</v>
      </c>
      <c r="C223" s="35" t="s">
        <v>321</v>
      </c>
      <c r="D223" s="35" t="s">
        <v>356</v>
      </c>
      <c r="E223" s="31" t="s">
        <v>357</v>
      </c>
      <c r="F223" s="31" t="s">
        <v>356</v>
      </c>
      <c r="G223" s="31" t="s">
        <v>71</v>
      </c>
      <c r="H223" s="34" t="s">
        <v>408</v>
      </c>
      <c r="I223" s="34" t="s">
        <v>408</v>
      </c>
      <c r="J223" s="76" t="s">
        <v>1434</v>
      </c>
      <c r="K223" s="31" t="s">
        <v>402</v>
      </c>
      <c r="L223" s="31" t="s">
        <v>402</v>
      </c>
      <c r="M223" s="31" t="s">
        <v>1429</v>
      </c>
      <c r="N223" s="32" t="s">
        <v>409</v>
      </c>
      <c r="O223" s="43" t="s">
        <v>356</v>
      </c>
      <c r="P223" s="32" t="s">
        <v>410</v>
      </c>
      <c r="Q223" s="278"/>
      <c r="R223" s="126" t="s">
        <v>411</v>
      </c>
      <c r="S223" s="30" t="s">
        <v>412</v>
      </c>
      <c r="T223" s="43" t="s">
        <v>396</v>
      </c>
      <c r="U223" s="164">
        <f>1.14*43%/2125</f>
        <v>2.3068235294117646E-4</v>
      </c>
      <c r="V223" s="32" t="s">
        <v>406</v>
      </c>
      <c r="W223" s="31">
        <v>0</v>
      </c>
      <c r="X223" s="31" t="s">
        <v>356</v>
      </c>
      <c r="Y223" s="31" t="s">
        <v>356</v>
      </c>
      <c r="Z223" s="31" t="s">
        <v>356</v>
      </c>
      <c r="AA223" s="31" t="s">
        <v>356</v>
      </c>
      <c r="AB223" s="35" t="s">
        <v>407</v>
      </c>
      <c r="AC223" s="35"/>
    </row>
    <row r="226" spans="11:11" x14ac:dyDescent="0.3">
      <c r="K226" s="1" t="s">
        <v>55</v>
      </c>
    </row>
    <row r="230" spans="11:11" x14ac:dyDescent="0.3">
      <c r="K230" t="s">
        <v>554</v>
      </c>
    </row>
    <row r="233" spans="11:11" x14ac:dyDescent="0.3">
      <c r="K233" t="s">
        <v>563</v>
      </c>
    </row>
    <row r="234" spans="11:11" x14ac:dyDescent="0.3">
      <c r="K234" t="s">
        <v>563</v>
      </c>
    </row>
    <row r="237" spans="11:11" x14ac:dyDescent="0.3">
      <c r="K237" t="s">
        <v>576</v>
      </c>
    </row>
    <row r="238" spans="11:11" x14ac:dyDescent="0.3">
      <c r="K238" t="s">
        <v>579</v>
      </c>
    </row>
    <row r="260" ht="13.8" customHeight="1" x14ac:dyDescent="0.3"/>
  </sheetData>
  <autoFilter ref="B2:B223" xr:uid="{A8353559-056F-4A9F-B40A-291E5272323B}"/>
  <mergeCells count="31">
    <mergeCell ref="H183:H188"/>
    <mergeCell ref="I183:I188"/>
    <mergeCell ref="J183:J188"/>
    <mergeCell ref="Q183:Q188"/>
    <mergeCell ref="Q42:Q56"/>
    <mergeCell ref="Q63:Q68"/>
    <mergeCell ref="Q69:Q80"/>
    <mergeCell ref="Q81:Q92"/>
    <mergeCell ref="Q93:Q104"/>
    <mergeCell ref="Q105:Q116"/>
    <mergeCell ref="Q117:Q128"/>
    <mergeCell ref="Q129:Q140"/>
    <mergeCell ref="H189:H194"/>
    <mergeCell ref="I189:I194"/>
    <mergeCell ref="J189:J194"/>
    <mergeCell ref="Q189:Q194"/>
    <mergeCell ref="Q195:Q204"/>
    <mergeCell ref="Q219:Q221"/>
    <mergeCell ref="Q222:Q223"/>
    <mergeCell ref="Q27:Q41"/>
    <mergeCell ref="Q57:Q62"/>
    <mergeCell ref="Q143:Q164"/>
    <mergeCell ref="Q207:Q218"/>
    <mergeCell ref="Q165:Q175"/>
    <mergeCell ref="Q176:Q178"/>
    <mergeCell ref="Q179:Q181"/>
    <mergeCell ref="X1:AA1"/>
    <mergeCell ref="Q3:Q13"/>
    <mergeCell ref="Q14:Q16"/>
    <mergeCell ref="Q17:Q18"/>
    <mergeCell ref="Q19:Q2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996B-649F-4CB2-923F-54096A49A6EC}">
  <dimension ref="B2:E36"/>
  <sheetViews>
    <sheetView tabSelected="1" workbookViewId="0">
      <selection activeCell="C4" sqref="C4"/>
    </sheetView>
  </sheetViews>
  <sheetFormatPr defaultRowHeight="14.4" x14ac:dyDescent="0.3"/>
  <cols>
    <col min="2" max="2" width="51.5546875" customWidth="1"/>
    <col min="3" max="3" width="49.77734375" customWidth="1"/>
  </cols>
  <sheetData>
    <row r="2" spans="2:5" x14ac:dyDescent="0.3">
      <c r="B2" s="17" t="s">
        <v>0</v>
      </c>
      <c r="C2" s="17" t="s">
        <v>54</v>
      </c>
      <c r="D2" s="17" t="s">
        <v>55</v>
      </c>
      <c r="E2" s="2"/>
    </row>
    <row r="3" spans="2:5" ht="43.2" x14ac:dyDescent="0.3">
      <c r="B3" s="258" t="s">
        <v>56</v>
      </c>
      <c r="C3" s="5" t="s">
        <v>1873</v>
      </c>
      <c r="D3" s="23" t="s">
        <v>57</v>
      </c>
    </row>
    <row r="4" spans="2:5" x14ac:dyDescent="0.3">
      <c r="B4" s="259" t="s">
        <v>42</v>
      </c>
      <c r="C4" s="3" t="s">
        <v>58</v>
      </c>
      <c r="D4" s="23" t="s">
        <v>57</v>
      </c>
    </row>
    <row r="5" spans="2:5" x14ac:dyDescent="0.3">
      <c r="B5" s="260" t="s">
        <v>59</v>
      </c>
      <c r="C5" t="s">
        <v>60</v>
      </c>
      <c r="D5" s="23" t="s">
        <v>57</v>
      </c>
    </row>
    <row r="6" spans="2:5" x14ac:dyDescent="0.3">
      <c r="B6" s="190" t="s">
        <v>1870</v>
      </c>
      <c r="C6" t="s">
        <v>61</v>
      </c>
      <c r="D6" s="23" t="s">
        <v>62</v>
      </c>
    </row>
    <row r="7" spans="2:5" x14ac:dyDescent="0.3">
      <c r="B7" s="169" t="s">
        <v>1871</v>
      </c>
      <c r="C7" t="s">
        <v>63</v>
      </c>
      <c r="D7" s="23" t="s">
        <v>1872</v>
      </c>
    </row>
    <row r="8" spans="2:5" x14ac:dyDescent="0.3">
      <c r="B8" s="261" t="s">
        <v>1640</v>
      </c>
      <c r="C8" t="s">
        <v>1152</v>
      </c>
      <c r="D8" s="23" t="s">
        <v>62</v>
      </c>
    </row>
    <row r="9" spans="2:5" x14ac:dyDescent="0.3">
      <c r="B9" s="262" t="s">
        <v>1642</v>
      </c>
      <c r="C9" s="3" t="s">
        <v>1645</v>
      </c>
      <c r="D9" s="23" t="s">
        <v>62</v>
      </c>
    </row>
    <row r="10" spans="2:5" x14ac:dyDescent="0.3">
      <c r="B10" s="263" t="s">
        <v>1639</v>
      </c>
      <c r="C10" s="24" t="s">
        <v>65</v>
      </c>
      <c r="D10" s="23" t="s">
        <v>62</v>
      </c>
    </row>
    <row r="11" spans="2:5" x14ac:dyDescent="0.3">
      <c r="B11" s="264" t="s">
        <v>1643</v>
      </c>
      <c r="C11" s="24" t="s">
        <v>1646</v>
      </c>
      <c r="D11" s="23" t="s">
        <v>62</v>
      </c>
    </row>
    <row r="12" spans="2:5" x14ac:dyDescent="0.3">
      <c r="B12" s="250" t="s">
        <v>1206</v>
      </c>
      <c r="C12" t="s">
        <v>66</v>
      </c>
      <c r="D12" s="23" t="s">
        <v>62</v>
      </c>
    </row>
    <row r="13" spans="2:5" x14ac:dyDescent="0.3">
      <c r="B13" s="107" t="s">
        <v>1641</v>
      </c>
      <c r="C13" t="s">
        <v>67</v>
      </c>
      <c r="D13" s="23" t="s">
        <v>62</v>
      </c>
    </row>
    <row r="14" spans="2:5" x14ac:dyDescent="0.3">
      <c r="B14" s="108" t="s">
        <v>1210</v>
      </c>
      <c r="C14" t="s">
        <v>68</v>
      </c>
      <c r="D14" s="23" t="s">
        <v>62</v>
      </c>
    </row>
    <row r="15" spans="2:5" x14ac:dyDescent="0.3">
      <c r="B15" s="265" t="s">
        <v>1207</v>
      </c>
      <c r="C15" t="s">
        <v>1647</v>
      </c>
      <c r="D15" s="23" t="s">
        <v>62</v>
      </c>
    </row>
    <row r="16" spans="2:5" x14ac:dyDescent="0.3">
      <c r="B16" s="247" t="s">
        <v>1644</v>
      </c>
      <c r="C16" t="s">
        <v>1648</v>
      </c>
      <c r="D16" s="23" t="s">
        <v>62</v>
      </c>
    </row>
    <row r="17" spans="2:4" x14ac:dyDescent="0.3">
      <c r="B17" s="248" t="s">
        <v>1211</v>
      </c>
      <c r="C17" t="s">
        <v>1649</v>
      </c>
      <c r="D17" s="23" t="s">
        <v>62</v>
      </c>
    </row>
    <row r="18" spans="2:4" x14ac:dyDescent="0.3">
      <c r="B18" s="109" t="s">
        <v>69</v>
      </c>
      <c r="C18" s="24" t="s">
        <v>70</v>
      </c>
      <c r="D18" s="3" t="s">
        <v>71</v>
      </c>
    </row>
    <row r="19" spans="2:4" x14ac:dyDescent="0.3">
      <c r="B19" s="109" t="s">
        <v>72</v>
      </c>
      <c r="C19" s="24" t="s">
        <v>70</v>
      </c>
      <c r="D19" s="3" t="s">
        <v>71</v>
      </c>
    </row>
    <row r="20" spans="2:4" x14ac:dyDescent="0.3">
      <c r="B20" s="113" t="s">
        <v>101</v>
      </c>
      <c r="C20" t="s">
        <v>73</v>
      </c>
      <c r="D20" s="23" t="s">
        <v>62</v>
      </c>
    </row>
    <row r="21" spans="2:4" x14ac:dyDescent="0.3">
      <c r="B21" s="113" t="s">
        <v>102</v>
      </c>
      <c r="C21" t="s">
        <v>74</v>
      </c>
      <c r="D21" s="23" t="s">
        <v>62</v>
      </c>
    </row>
    <row r="22" spans="2:4" x14ac:dyDescent="0.3">
      <c r="B22" s="266" t="s">
        <v>75</v>
      </c>
      <c r="C22" s="24" t="s">
        <v>76</v>
      </c>
      <c r="D22" s="23" t="s">
        <v>1872</v>
      </c>
    </row>
    <row r="23" spans="2:4" x14ac:dyDescent="0.3">
      <c r="B23" s="267" t="s">
        <v>77</v>
      </c>
      <c r="C23" s="24" t="s">
        <v>70</v>
      </c>
      <c r="D23" s="23" t="s">
        <v>62</v>
      </c>
    </row>
    <row r="24" spans="2:4" x14ac:dyDescent="0.3">
      <c r="B24" s="267" t="s">
        <v>78</v>
      </c>
      <c r="C24" t="s">
        <v>79</v>
      </c>
      <c r="D24" s="23" t="s">
        <v>62</v>
      </c>
    </row>
    <row r="25" spans="2:4" x14ac:dyDescent="0.3">
      <c r="B25" s="135" t="s">
        <v>80</v>
      </c>
      <c r="C25" s="24" t="s">
        <v>70</v>
      </c>
      <c r="D25" s="3" t="s">
        <v>71</v>
      </c>
    </row>
    <row r="26" spans="2:4" x14ac:dyDescent="0.3">
      <c r="B26" s="146" t="s">
        <v>81</v>
      </c>
      <c r="C26" s="3" t="s">
        <v>82</v>
      </c>
      <c r="D26" s="23" t="s">
        <v>57</v>
      </c>
    </row>
    <row r="27" spans="2:4" x14ac:dyDescent="0.3">
      <c r="B27" s="148" t="s">
        <v>83</v>
      </c>
      <c r="C27" s="3" t="s">
        <v>84</v>
      </c>
      <c r="D27" s="23" t="s">
        <v>1872</v>
      </c>
    </row>
    <row r="28" spans="2:4" x14ac:dyDescent="0.3">
      <c r="B28" s="148" t="s">
        <v>85</v>
      </c>
      <c r="C28" s="3" t="s">
        <v>86</v>
      </c>
      <c r="D28" s="23" t="s">
        <v>57</v>
      </c>
    </row>
    <row r="29" spans="2:4" x14ac:dyDescent="0.3">
      <c r="B29" s="149" t="s">
        <v>87</v>
      </c>
      <c r="C29" t="s">
        <v>88</v>
      </c>
      <c r="D29" s="23" t="s">
        <v>62</v>
      </c>
    </row>
    <row r="30" spans="2:4" x14ac:dyDescent="0.3">
      <c r="B30" s="149" t="s">
        <v>89</v>
      </c>
      <c r="C30" t="s">
        <v>90</v>
      </c>
      <c r="D30" s="23" t="s">
        <v>62</v>
      </c>
    </row>
    <row r="31" spans="2:4" x14ac:dyDescent="0.3">
      <c r="B31" s="150" t="s">
        <v>91</v>
      </c>
      <c r="C31" t="s">
        <v>92</v>
      </c>
      <c r="D31" s="23" t="s">
        <v>62</v>
      </c>
    </row>
    <row r="32" spans="2:4" x14ac:dyDescent="0.3">
      <c r="B32" s="151" t="s">
        <v>93</v>
      </c>
      <c r="C32" s="24" t="s">
        <v>70</v>
      </c>
      <c r="D32" s="3" t="s">
        <v>71</v>
      </c>
    </row>
    <row r="33" spans="2:4" x14ac:dyDescent="0.3">
      <c r="B33" s="154" t="s">
        <v>94</v>
      </c>
      <c r="C33" t="s">
        <v>95</v>
      </c>
      <c r="D33" s="23" t="s">
        <v>57</v>
      </c>
    </row>
    <row r="34" spans="2:4" x14ac:dyDescent="0.3">
      <c r="B34" s="268" t="s">
        <v>96</v>
      </c>
      <c r="C34" s="24" t="s">
        <v>97</v>
      </c>
      <c r="D34" s="3" t="s">
        <v>71</v>
      </c>
    </row>
    <row r="35" spans="2:4" x14ac:dyDescent="0.3">
      <c r="B35" s="269" t="s">
        <v>98</v>
      </c>
      <c r="C35" s="24" t="s">
        <v>99</v>
      </c>
      <c r="D35" s="3" t="s">
        <v>71</v>
      </c>
    </row>
    <row r="36" spans="2:4" x14ac:dyDescent="0.3">
      <c r="B36" s="173" t="s">
        <v>100</v>
      </c>
      <c r="C36" s="24" t="s">
        <v>99</v>
      </c>
      <c r="D36" s="3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52FF-79B6-4840-A321-6BE745D5BEBE}">
  <dimension ref="B2:N453"/>
  <sheetViews>
    <sheetView topLeftCell="A283" workbookViewId="0">
      <selection activeCell="C397" sqref="C397"/>
    </sheetView>
  </sheetViews>
  <sheetFormatPr defaultRowHeight="14.4" x14ac:dyDescent="0.3"/>
  <cols>
    <col min="2" max="2" width="22" customWidth="1"/>
  </cols>
  <sheetData>
    <row r="2" spans="2:11" x14ac:dyDescent="0.3">
      <c r="B2" s="253" t="s">
        <v>31</v>
      </c>
      <c r="D2" s="1" t="s">
        <v>1653</v>
      </c>
    </row>
    <row r="3" spans="2:11" x14ac:dyDescent="0.3">
      <c r="B3" t="s">
        <v>1654</v>
      </c>
      <c r="C3" s="273">
        <v>0.8</v>
      </c>
      <c r="D3" s="166" t="s">
        <v>1655</v>
      </c>
    </row>
    <row r="4" spans="2:11" x14ac:dyDescent="0.3">
      <c r="B4" t="s">
        <v>1656</v>
      </c>
      <c r="C4">
        <v>15</v>
      </c>
    </row>
    <row r="5" spans="2:11" x14ac:dyDescent="0.3">
      <c r="B5" t="s">
        <v>1657</v>
      </c>
      <c r="C5" s="14">
        <v>0.44</v>
      </c>
    </row>
    <row r="6" spans="2:11" x14ac:dyDescent="0.3">
      <c r="B6" t="s">
        <v>1658</v>
      </c>
      <c r="C6" s="274" t="s">
        <v>1824</v>
      </c>
    </row>
    <row r="7" spans="2:11" x14ac:dyDescent="0.3">
      <c r="C7" s="274" t="s">
        <v>1825</v>
      </c>
      <c r="K7" t="s">
        <v>1826</v>
      </c>
    </row>
    <row r="8" spans="2:11" x14ac:dyDescent="0.3">
      <c r="C8" s="274" t="s">
        <v>1827</v>
      </c>
    </row>
    <row r="9" spans="2:11" x14ac:dyDescent="0.3">
      <c r="C9" s="274" t="s">
        <v>1828</v>
      </c>
    </row>
    <row r="10" spans="2:11" x14ac:dyDescent="0.3">
      <c r="C10" s="274" t="s">
        <v>1829</v>
      </c>
    </row>
    <row r="11" spans="2:11" x14ac:dyDescent="0.3">
      <c r="C11" s="274" t="s">
        <v>1830</v>
      </c>
    </row>
    <row r="12" spans="2:11" x14ac:dyDescent="0.3">
      <c r="C12" s="274" t="s">
        <v>1831</v>
      </c>
    </row>
    <row r="13" spans="2:11" x14ac:dyDescent="0.3">
      <c r="C13" s="274"/>
    </row>
    <row r="14" spans="2:11" x14ac:dyDescent="0.3">
      <c r="B14" t="s">
        <v>1659</v>
      </c>
      <c r="C14" t="s">
        <v>1660</v>
      </c>
    </row>
    <row r="15" spans="2:11" x14ac:dyDescent="0.3">
      <c r="C15" t="s">
        <v>1661</v>
      </c>
    </row>
    <row r="16" spans="2:11" x14ac:dyDescent="0.3">
      <c r="C16" t="s">
        <v>1662</v>
      </c>
    </row>
    <row r="17" spans="2:4" x14ac:dyDescent="0.3">
      <c r="C17" t="s">
        <v>1663</v>
      </c>
    </row>
    <row r="18" spans="2:4" x14ac:dyDescent="0.3">
      <c r="C18" t="s">
        <v>1664</v>
      </c>
    </row>
    <row r="19" spans="2:4" x14ac:dyDescent="0.3">
      <c r="C19" t="s">
        <v>1665</v>
      </c>
    </row>
    <row r="24" spans="2:4" x14ac:dyDescent="0.3">
      <c r="B24" s="253" t="s">
        <v>42</v>
      </c>
      <c r="D24" s="1" t="s">
        <v>1653</v>
      </c>
    </row>
    <row r="25" spans="2:4" x14ac:dyDescent="0.3">
      <c r="B25" t="s">
        <v>1654</v>
      </c>
      <c r="C25" s="273">
        <v>0.9</v>
      </c>
      <c r="D25" s="166" t="s">
        <v>1666</v>
      </c>
    </row>
    <row r="26" spans="2:4" x14ac:dyDescent="0.3">
      <c r="B26" t="s">
        <v>1656</v>
      </c>
      <c r="C26">
        <v>20</v>
      </c>
    </row>
    <row r="27" spans="2:4" x14ac:dyDescent="0.3">
      <c r="B27" t="s">
        <v>1657</v>
      </c>
      <c r="C27" s="14">
        <v>0.34</v>
      </c>
    </row>
    <row r="28" spans="2:4" x14ac:dyDescent="0.3">
      <c r="B28" t="s">
        <v>1658</v>
      </c>
      <c r="C28" s="166" t="s">
        <v>1667</v>
      </c>
    </row>
    <row r="29" spans="2:4" x14ac:dyDescent="0.3">
      <c r="C29" s="166" t="s">
        <v>1668</v>
      </c>
    </row>
    <row r="30" spans="2:4" x14ac:dyDescent="0.3">
      <c r="C30" s="166" t="s">
        <v>1537</v>
      </c>
    </row>
    <row r="31" spans="2:4" x14ac:dyDescent="0.3">
      <c r="C31" s="166" t="s">
        <v>1669</v>
      </c>
    </row>
    <row r="33" spans="2:4" x14ac:dyDescent="0.3">
      <c r="B33" t="s">
        <v>1659</v>
      </c>
      <c r="C33" t="s">
        <v>1688</v>
      </c>
    </row>
    <row r="34" spans="2:4" x14ac:dyDescent="0.3">
      <c r="C34" t="s">
        <v>1671</v>
      </c>
    </row>
    <row r="35" spans="2:4" x14ac:dyDescent="0.3">
      <c r="C35" t="s">
        <v>1670</v>
      </c>
    </row>
    <row r="40" spans="2:4" x14ac:dyDescent="0.3">
      <c r="B40" s="253" t="s">
        <v>1672</v>
      </c>
      <c r="D40" s="1" t="s">
        <v>1653</v>
      </c>
    </row>
    <row r="41" spans="2:4" x14ac:dyDescent="0.3">
      <c r="B41" t="s">
        <v>1673</v>
      </c>
      <c r="C41" s="273">
        <v>0.23</v>
      </c>
      <c r="D41" s="166" t="s">
        <v>1674</v>
      </c>
    </row>
    <row r="42" spans="2:4" x14ac:dyDescent="0.3">
      <c r="B42" t="s">
        <v>1654</v>
      </c>
      <c r="C42" s="14">
        <v>0.9</v>
      </c>
      <c r="D42" s="166" t="s">
        <v>1675</v>
      </c>
    </row>
    <row r="43" spans="2:4" x14ac:dyDescent="0.3">
      <c r="B43" t="s">
        <v>1656</v>
      </c>
      <c r="C43">
        <v>20</v>
      </c>
    </row>
    <row r="44" spans="2:4" x14ac:dyDescent="0.3">
      <c r="B44" t="s">
        <v>1657</v>
      </c>
      <c r="C44" s="14">
        <v>0.21</v>
      </c>
    </row>
    <row r="45" spans="2:4" x14ac:dyDescent="0.3">
      <c r="B45" t="s">
        <v>1658</v>
      </c>
      <c r="C45" s="166" t="s">
        <v>1676</v>
      </c>
    </row>
    <row r="46" spans="2:4" x14ac:dyDescent="0.3">
      <c r="C46" s="166" t="s">
        <v>1677</v>
      </c>
    </row>
    <row r="47" spans="2:4" x14ac:dyDescent="0.3">
      <c r="C47" s="166" t="s">
        <v>1678</v>
      </c>
    </row>
    <row r="48" spans="2:4" x14ac:dyDescent="0.3">
      <c r="C48" s="166" t="s">
        <v>1679</v>
      </c>
    </row>
    <row r="49" spans="2:4" x14ac:dyDescent="0.3">
      <c r="C49" s="166" t="s">
        <v>1680</v>
      </c>
    </row>
    <row r="51" spans="2:4" x14ac:dyDescent="0.3">
      <c r="B51" t="s">
        <v>1659</v>
      </c>
      <c r="C51" t="s">
        <v>1681</v>
      </c>
    </row>
    <row r="52" spans="2:4" x14ac:dyDescent="0.3">
      <c r="C52" t="s">
        <v>1682</v>
      </c>
    </row>
    <row r="53" spans="2:4" x14ac:dyDescent="0.3">
      <c r="C53" t="s">
        <v>1683</v>
      </c>
    </row>
    <row r="54" spans="2:4" x14ac:dyDescent="0.3">
      <c r="C54" t="s">
        <v>1684</v>
      </c>
    </row>
    <row r="55" spans="2:4" x14ac:dyDescent="0.3">
      <c r="C55" t="s">
        <v>1670</v>
      </c>
    </row>
    <row r="61" spans="2:4" x14ac:dyDescent="0.3">
      <c r="B61" s="253" t="s">
        <v>59</v>
      </c>
      <c r="D61" s="1" t="s">
        <v>1653</v>
      </c>
    </row>
    <row r="62" spans="2:4" x14ac:dyDescent="0.3">
      <c r="B62" t="s">
        <v>1654</v>
      </c>
      <c r="C62" s="273">
        <v>0.92</v>
      </c>
      <c r="D62" s="166" t="s">
        <v>1685</v>
      </c>
    </row>
    <row r="63" spans="2:4" x14ac:dyDescent="0.3">
      <c r="B63" t="s">
        <v>1656</v>
      </c>
      <c r="C63">
        <v>20</v>
      </c>
    </row>
    <row r="64" spans="2:4" x14ac:dyDescent="0.3">
      <c r="B64" t="s">
        <v>1657</v>
      </c>
      <c r="C64" s="14">
        <v>0.79</v>
      </c>
    </row>
    <row r="65" spans="2:4" x14ac:dyDescent="0.3">
      <c r="B65" t="s">
        <v>1658</v>
      </c>
      <c r="C65" s="166" t="s">
        <v>1686</v>
      </c>
    </row>
    <row r="66" spans="2:4" x14ac:dyDescent="0.3">
      <c r="C66" s="166" t="s">
        <v>1687</v>
      </c>
    </row>
    <row r="68" spans="2:4" x14ac:dyDescent="0.3">
      <c r="B68" t="s">
        <v>1659</v>
      </c>
      <c r="C68" t="s">
        <v>1689</v>
      </c>
    </row>
    <row r="69" spans="2:4" x14ac:dyDescent="0.3">
      <c r="C69" t="s">
        <v>1690</v>
      </c>
    </row>
    <row r="70" spans="2:4" x14ac:dyDescent="0.3">
      <c r="C70" t="s">
        <v>1670</v>
      </c>
    </row>
    <row r="76" spans="2:4" x14ac:dyDescent="0.3">
      <c r="B76" s="253" t="s">
        <v>1691</v>
      </c>
    </row>
    <row r="77" spans="2:4" x14ac:dyDescent="0.3">
      <c r="B77" t="s">
        <v>1692</v>
      </c>
      <c r="C77" s="273">
        <v>0.34246575342465801</v>
      </c>
      <c r="D77" s="166" t="s">
        <v>1693</v>
      </c>
    </row>
    <row r="78" spans="2:4" x14ac:dyDescent="0.3">
      <c r="B78" t="s">
        <v>1694</v>
      </c>
      <c r="C78" s="273">
        <v>0.79908675799086759</v>
      </c>
      <c r="D78" s="166" t="s">
        <v>1695</v>
      </c>
    </row>
    <row r="79" spans="2:4" x14ac:dyDescent="0.3">
      <c r="B79" t="s">
        <v>1656</v>
      </c>
      <c r="C79">
        <v>20</v>
      </c>
    </row>
    <row r="80" spans="2:4" x14ac:dyDescent="0.3">
      <c r="B80" t="s">
        <v>1657</v>
      </c>
      <c r="C80" s="14">
        <v>0.51</v>
      </c>
    </row>
    <row r="81" spans="2:3" x14ac:dyDescent="0.3">
      <c r="B81" t="s">
        <v>1658</v>
      </c>
      <c r="C81" s="166" t="s">
        <v>1696</v>
      </c>
    </row>
    <row r="82" spans="2:3" x14ac:dyDescent="0.3">
      <c r="C82" s="166" t="s">
        <v>1697</v>
      </c>
    </row>
    <row r="83" spans="2:3" x14ac:dyDescent="0.3">
      <c r="C83" s="166" t="s">
        <v>1698</v>
      </c>
    </row>
    <row r="84" spans="2:3" x14ac:dyDescent="0.3">
      <c r="C84" s="166" t="s">
        <v>1699</v>
      </c>
    </row>
    <row r="85" spans="2:3" x14ac:dyDescent="0.3">
      <c r="C85" s="166" t="s">
        <v>1700</v>
      </c>
    </row>
    <row r="86" spans="2:3" x14ac:dyDescent="0.3">
      <c r="C86" s="166" t="s">
        <v>1701</v>
      </c>
    </row>
    <row r="87" spans="2:3" x14ac:dyDescent="0.3">
      <c r="C87" t="s">
        <v>1721</v>
      </c>
    </row>
    <row r="89" spans="2:3" x14ac:dyDescent="0.3">
      <c r="B89" t="s">
        <v>1659</v>
      </c>
      <c r="C89" t="s">
        <v>1702</v>
      </c>
    </row>
    <row r="90" spans="2:3" x14ac:dyDescent="0.3">
      <c r="C90" t="s">
        <v>1703</v>
      </c>
    </row>
    <row r="91" spans="2:3" x14ac:dyDescent="0.3">
      <c r="C91" t="s">
        <v>1704</v>
      </c>
    </row>
    <row r="92" spans="2:3" x14ac:dyDescent="0.3">
      <c r="C92" t="s">
        <v>1705</v>
      </c>
    </row>
    <row r="93" spans="2:3" x14ac:dyDescent="0.3">
      <c r="C93" t="s">
        <v>1706</v>
      </c>
    </row>
    <row r="94" spans="2:3" x14ac:dyDescent="0.3">
      <c r="C94" t="s">
        <v>1670</v>
      </c>
    </row>
    <row r="99" spans="2:14" x14ac:dyDescent="0.3">
      <c r="B99" s="253" t="s">
        <v>1707</v>
      </c>
    </row>
    <row r="100" spans="2:14" x14ac:dyDescent="0.3">
      <c r="B100" t="s">
        <v>1694</v>
      </c>
      <c r="C100" s="273">
        <v>0.97</v>
      </c>
      <c r="D100" s="166" t="s">
        <v>1708</v>
      </c>
      <c r="N100" t="s">
        <v>1709</v>
      </c>
    </row>
    <row r="101" spans="2:14" x14ac:dyDescent="0.3">
      <c r="B101" t="s">
        <v>1656</v>
      </c>
      <c r="C101">
        <v>20</v>
      </c>
    </row>
    <row r="102" spans="2:14" x14ac:dyDescent="0.3">
      <c r="B102" t="s">
        <v>1657</v>
      </c>
      <c r="C102" s="14">
        <v>0.47</v>
      </c>
    </row>
    <row r="103" spans="2:14" x14ac:dyDescent="0.3">
      <c r="B103" t="s">
        <v>1658</v>
      </c>
      <c r="C103" s="166" t="s">
        <v>1710</v>
      </c>
    </row>
    <row r="104" spans="2:14" x14ac:dyDescent="0.3">
      <c r="C104" s="166" t="s">
        <v>1711</v>
      </c>
    </row>
    <row r="105" spans="2:14" x14ac:dyDescent="0.3">
      <c r="C105" s="166" t="s">
        <v>1697</v>
      </c>
    </row>
    <row r="106" spans="2:14" x14ac:dyDescent="0.3">
      <c r="C106" s="166" t="s">
        <v>1712</v>
      </c>
    </row>
    <row r="107" spans="2:14" x14ac:dyDescent="0.3">
      <c r="C107" t="s">
        <v>1721</v>
      </c>
    </row>
    <row r="109" spans="2:14" x14ac:dyDescent="0.3">
      <c r="B109" t="s">
        <v>1659</v>
      </c>
      <c r="C109" t="s">
        <v>1702</v>
      </c>
    </row>
    <row r="110" spans="2:14" x14ac:dyDescent="0.3">
      <c r="C110" t="s">
        <v>1703</v>
      </c>
    </row>
    <row r="111" spans="2:14" x14ac:dyDescent="0.3">
      <c r="C111" t="s">
        <v>1704</v>
      </c>
    </row>
    <row r="112" spans="2:14" x14ac:dyDescent="0.3">
      <c r="C112" t="s">
        <v>1705</v>
      </c>
    </row>
    <row r="113" spans="2:4" x14ac:dyDescent="0.3">
      <c r="C113" t="s">
        <v>1706</v>
      </c>
    </row>
    <row r="114" spans="2:4" x14ac:dyDescent="0.3">
      <c r="C114" t="s">
        <v>1670</v>
      </c>
    </row>
    <row r="120" spans="2:4" x14ac:dyDescent="0.3">
      <c r="B120" s="253" t="s">
        <v>1713</v>
      </c>
    </row>
    <row r="121" spans="2:4" x14ac:dyDescent="0.3">
      <c r="B121" t="s">
        <v>1714</v>
      </c>
      <c r="C121" s="273">
        <v>0.372</v>
      </c>
      <c r="D121" s="166" t="s">
        <v>1715</v>
      </c>
    </row>
    <row r="122" spans="2:4" x14ac:dyDescent="0.3">
      <c r="B122" t="s">
        <v>1694</v>
      </c>
      <c r="C122" s="273">
        <v>0.8</v>
      </c>
      <c r="D122" s="166" t="s">
        <v>1716</v>
      </c>
    </row>
    <row r="123" spans="2:4" x14ac:dyDescent="0.3">
      <c r="B123" t="s">
        <v>1656</v>
      </c>
      <c r="C123">
        <v>20</v>
      </c>
    </row>
    <row r="124" spans="2:4" x14ac:dyDescent="0.3">
      <c r="B124" t="s">
        <v>1657</v>
      </c>
      <c r="C124" s="14">
        <v>0.47</v>
      </c>
    </row>
    <row r="125" spans="2:4" x14ac:dyDescent="0.3">
      <c r="B125" t="s">
        <v>1658</v>
      </c>
      <c r="C125" s="166" t="s">
        <v>1717</v>
      </c>
    </row>
    <row r="126" spans="2:4" x14ac:dyDescent="0.3">
      <c r="C126" s="166" t="s">
        <v>1696</v>
      </c>
    </row>
    <row r="127" spans="2:4" x14ac:dyDescent="0.3">
      <c r="C127" s="166" t="s">
        <v>1718</v>
      </c>
    </row>
    <row r="128" spans="2:4" x14ac:dyDescent="0.3">
      <c r="C128" s="166" t="s">
        <v>1719</v>
      </c>
    </row>
    <row r="129" spans="2:4" x14ac:dyDescent="0.3">
      <c r="C129" s="166" t="s">
        <v>1720</v>
      </c>
    </row>
    <row r="130" spans="2:4" x14ac:dyDescent="0.3">
      <c r="C130" t="s">
        <v>1721</v>
      </c>
    </row>
    <row r="132" spans="2:4" x14ac:dyDescent="0.3">
      <c r="B132" t="s">
        <v>1659</v>
      </c>
      <c r="C132" t="s">
        <v>1702</v>
      </c>
    </row>
    <row r="133" spans="2:4" x14ac:dyDescent="0.3">
      <c r="C133" t="s">
        <v>1703</v>
      </c>
    </row>
    <row r="134" spans="2:4" x14ac:dyDescent="0.3">
      <c r="C134" t="s">
        <v>1704</v>
      </c>
    </row>
    <row r="135" spans="2:4" x14ac:dyDescent="0.3">
      <c r="C135" t="s">
        <v>1705</v>
      </c>
    </row>
    <row r="136" spans="2:4" x14ac:dyDescent="0.3">
      <c r="C136" t="s">
        <v>1706</v>
      </c>
    </row>
    <row r="137" spans="2:4" x14ac:dyDescent="0.3">
      <c r="C137" t="s">
        <v>1670</v>
      </c>
    </row>
    <row r="143" spans="2:4" x14ac:dyDescent="0.3">
      <c r="B143" s="253" t="s">
        <v>1722</v>
      </c>
    </row>
    <row r="144" spans="2:4" x14ac:dyDescent="0.3">
      <c r="B144" t="s">
        <v>1654</v>
      </c>
      <c r="C144" s="273">
        <v>0.9</v>
      </c>
      <c r="D144" s="166" t="s">
        <v>1723</v>
      </c>
    </row>
    <row r="145" spans="2:3" x14ac:dyDescent="0.3">
      <c r="B145" t="s">
        <v>1656</v>
      </c>
      <c r="C145">
        <v>20</v>
      </c>
    </row>
    <row r="146" spans="2:3" x14ac:dyDescent="0.3">
      <c r="B146" t="s">
        <v>1657</v>
      </c>
      <c r="C146" s="14">
        <v>0.81</v>
      </c>
    </row>
    <row r="147" spans="2:3" x14ac:dyDescent="0.3">
      <c r="B147" t="s">
        <v>1658</v>
      </c>
      <c r="C147" s="166" t="s">
        <v>1724</v>
      </c>
    </row>
    <row r="148" spans="2:3" x14ac:dyDescent="0.3">
      <c r="C148" s="166" t="s">
        <v>1725</v>
      </c>
    </row>
    <row r="149" spans="2:3" x14ac:dyDescent="0.3">
      <c r="C149" s="166" t="s">
        <v>1726</v>
      </c>
    </row>
    <row r="150" spans="2:3" x14ac:dyDescent="0.3">
      <c r="C150" s="166" t="s">
        <v>1727</v>
      </c>
    </row>
    <row r="151" spans="2:3" x14ac:dyDescent="0.3">
      <c r="C151" s="166" t="s">
        <v>1728</v>
      </c>
    </row>
    <row r="153" spans="2:3" x14ac:dyDescent="0.3">
      <c r="B153" t="s">
        <v>1659</v>
      </c>
      <c r="C153" t="s">
        <v>1729</v>
      </c>
    </row>
    <row r="154" spans="2:3" x14ac:dyDescent="0.3">
      <c r="C154" t="s">
        <v>1704</v>
      </c>
    </row>
    <row r="155" spans="2:3" x14ac:dyDescent="0.3">
      <c r="C155" t="s">
        <v>1730</v>
      </c>
    </row>
    <row r="156" spans="2:3" x14ac:dyDescent="0.3">
      <c r="C156" t="s">
        <v>1670</v>
      </c>
    </row>
    <row r="162" spans="2:4" x14ac:dyDescent="0.3">
      <c r="B162" s="253" t="s">
        <v>1520</v>
      </c>
    </row>
    <row r="163" spans="2:4" x14ac:dyDescent="0.3">
      <c r="B163" t="s">
        <v>1654</v>
      </c>
      <c r="C163" s="273">
        <v>0.8</v>
      </c>
      <c r="D163" s="166" t="s">
        <v>1731</v>
      </c>
    </row>
    <row r="164" spans="2:4" x14ac:dyDescent="0.3">
      <c r="B164" t="s">
        <v>1656</v>
      </c>
      <c r="C164">
        <v>25</v>
      </c>
    </row>
    <row r="165" spans="2:4" x14ac:dyDescent="0.3">
      <c r="B165" t="s">
        <v>1657</v>
      </c>
      <c r="C165" s="14">
        <v>1.59</v>
      </c>
    </row>
    <row r="166" spans="2:4" x14ac:dyDescent="0.3">
      <c r="B166" t="s">
        <v>1658</v>
      </c>
      <c r="C166" s="166" t="s">
        <v>1726</v>
      </c>
    </row>
    <row r="167" spans="2:4" x14ac:dyDescent="0.3">
      <c r="C167" s="166" t="s">
        <v>1725</v>
      </c>
    </row>
    <row r="168" spans="2:4" x14ac:dyDescent="0.3">
      <c r="C168" s="166" t="s">
        <v>1732</v>
      </c>
    </row>
    <row r="169" spans="2:4" x14ac:dyDescent="0.3">
      <c r="C169" s="166" t="s">
        <v>1733</v>
      </c>
    </row>
    <row r="171" spans="2:4" x14ac:dyDescent="0.3">
      <c r="B171" t="s">
        <v>1659</v>
      </c>
      <c r="C171" t="s">
        <v>1734</v>
      </c>
    </row>
    <row r="172" spans="2:4" x14ac:dyDescent="0.3">
      <c r="C172" t="s">
        <v>1704</v>
      </c>
    </row>
    <row r="173" spans="2:4" x14ac:dyDescent="0.3">
      <c r="C173" t="s">
        <v>1730</v>
      </c>
    </row>
    <row r="174" spans="2:4" x14ac:dyDescent="0.3">
      <c r="C174" t="s">
        <v>1670</v>
      </c>
    </row>
    <row r="179" spans="2:4" x14ac:dyDescent="0.3">
      <c r="B179" s="253" t="s">
        <v>1735</v>
      </c>
      <c r="D179" s="1" t="s">
        <v>1653</v>
      </c>
    </row>
    <row r="180" spans="2:4" x14ac:dyDescent="0.3">
      <c r="B180" t="s">
        <v>1673</v>
      </c>
      <c r="C180" s="273">
        <v>0.28599999999999998</v>
      </c>
      <c r="D180" s="166" t="s">
        <v>1736</v>
      </c>
    </row>
    <row r="181" spans="2:4" x14ac:dyDescent="0.3">
      <c r="B181" t="s">
        <v>1654</v>
      </c>
      <c r="C181" s="14">
        <v>0.78</v>
      </c>
      <c r="D181" s="166" t="s">
        <v>1737</v>
      </c>
    </row>
    <row r="182" spans="2:4" x14ac:dyDescent="0.3">
      <c r="B182" t="s">
        <v>1656</v>
      </c>
      <c r="C182">
        <v>20</v>
      </c>
    </row>
    <row r="183" spans="2:4" x14ac:dyDescent="0.3">
      <c r="B183" t="s">
        <v>1657</v>
      </c>
      <c r="C183" s="14">
        <v>0.38</v>
      </c>
    </row>
    <row r="184" spans="2:4" x14ac:dyDescent="0.3">
      <c r="B184" t="s">
        <v>1658</v>
      </c>
      <c r="C184" s="166" t="s">
        <v>1738</v>
      </c>
    </row>
    <row r="185" spans="2:4" x14ac:dyDescent="0.3">
      <c r="C185" s="166" t="s">
        <v>1739</v>
      </c>
    </row>
    <row r="186" spans="2:4" x14ac:dyDescent="0.3">
      <c r="C186" s="166" t="s">
        <v>1740</v>
      </c>
    </row>
    <row r="187" spans="2:4" x14ac:dyDescent="0.3">
      <c r="C187" s="166" t="s">
        <v>1741</v>
      </c>
    </row>
    <row r="188" spans="2:4" x14ac:dyDescent="0.3">
      <c r="C188" s="166" t="s">
        <v>1742</v>
      </c>
    </row>
    <row r="190" spans="2:4" x14ac:dyDescent="0.3">
      <c r="B190" t="s">
        <v>1659</v>
      </c>
      <c r="C190" t="s">
        <v>1743</v>
      </c>
    </row>
    <row r="191" spans="2:4" x14ac:dyDescent="0.3">
      <c r="C191" t="s">
        <v>1744</v>
      </c>
    </row>
    <row r="192" spans="2:4" x14ac:dyDescent="0.3">
      <c r="C192" t="s">
        <v>1745</v>
      </c>
    </row>
    <row r="193" spans="2:4" x14ac:dyDescent="0.3">
      <c r="C193" t="s">
        <v>1706</v>
      </c>
    </row>
    <row r="194" spans="2:4" x14ac:dyDescent="0.3">
      <c r="C194" t="s">
        <v>1747</v>
      </c>
    </row>
    <row r="195" spans="2:4" x14ac:dyDescent="0.3">
      <c r="C195" t="s">
        <v>1670</v>
      </c>
    </row>
    <row r="201" spans="2:4" x14ac:dyDescent="0.3">
      <c r="B201" s="253" t="s">
        <v>1748</v>
      </c>
      <c r="D201" s="1" t="s">
        <v>1653</v>
      </c>
    </row>
    <row r="202" spans="2:4" x14ac:dyDescent="0.3">
      <c r="B202" t="s">
        <v>1673</v>
      </c>
      <c r="C202" s="273">
        <v>0.28599999999999998</v>
      </c>
      <c r="D202" s="166" t="s">
        <v>1736</v>
      </c>
    </row>
    <row r="203" spans="2:4" x14ac:dyDescent="0.3">
      <c r="B203" t="s">
        <v>1654</v>
      </c>
      <c r="C203" s="14">
        <v>0.78</v>
      </c>
      <c r="D203" s="166" t="s">
        <v>1737</v>
      </c>
    </row>
    <row r="204" spans="2:4" x14ac:dyDescent="0.3">
      <c r="B204" t="s">
        <v>1656</v>
      </c>
      <c r="C204">
        <v>20</v>
      </c>
    </row>
    <row r="205" spans="2:4" x14ac:dyDescent="0.3">
      <c r="B205" t="s">
        <v>1657</v>
      </c>
      <c r="C205" s="14">
        <v>0.36</v>
      </c>
    </row>
    <row r="206" spans="2:4" x14ac:dyDescent="0.3">
      <c r="B206" t="s">
        <v>1658</v>
      </c>
      <c r="C206" s="166" t="s">
        <v>1738</v>
      </c>
    </row>
    <row r="207" spans="2:4" x14ac:dyDescent="0.3">
      <c r="C207" s="166" t="s">
        <v>1739</v>
      </c>
    </row>
    <row r="208" spans="2:4" x14ac:dyDescent="0.3">
      <c r="C208" s="166" t="s">
        <v>1740</v>
      </c>
    </row>
    <row r="209" spans="2:4" x14ac:dyDescent="0.3">
      <c r="C209" s="166" t="s">
        <v>1741</v>
      </c>
    </row>
    <row r="210" spans="2:4" x14ac:dyDescent="0.3">
      <c r="C210" s="166" t="s">
        <v>1742</v>
      </c>
    </row>
    <row r="212" spans="2:4" x14ac:dyDescent="0.3">
      <c r="B212" t="s">
        <v>1659</v>
      </c>
      <c r="C212" t="s">
        <v>1743</v>
      </c>
    </row>
    <row r="213" spans="2:4" x14ac:dyDescent="0.3">
      <c r="C213" t="s">
        <v>1744</v>
      </c>
    </row>
    <row r="214" spans="2:4" x14ac:dyDescent="0.3">
      <c r="C214" t="s">
        <v>1745</v>
      </c>
    </row>
    <row r="215" spans="2:4" x14ac:dyDescent="0.3">
      <c r="C215" t="s">
        <v>1706</v>
      </c>
    </row>
    <row r="216" spans="2:4" x14ac:dyDescent="0.3">
      <c r="C216" t="s">
        <v>1747</v>
      </c>
    </row>
    <row r="217" spans="2:4" x14ac:dyDescent="0.3">
      <c r="C217" t="s">
        <v>1670</v>
      </c>
    </row>
    <row r="222" spans="2:4" x14ac:dyDescent="0.3">
      <c r="B222" s="253" t="s">
        <v>1749</v>
      </c>
      <c r="D222" s="1" t="s">
        <v>1653</v>
      </c>
    </row>
    <row r="223" spans="2:4" x14ac:dyDescent="0.3">
      <c r="B223" t="s">
        <v>1654</v>
      </c>
      <c r="C223" s="14">
        <v>0.85599999999999998</v>
      </c>
      <c r="D223" s="166" t="s">
        <v>874</v>
      </c>
    </row>
    <row r="224" spans="2:4" x14ac:dyDescent="0.3">
      <c r="B224" t="s">
        <v>1656</v>
      </c>
      <c r="C224">
        <v>20</v>
      </c>
    </row>
    <row r="225" spans="2:3" x14ac:dyDescent="0.3">
      <c r="B225" t="s">
        <v>1657</v>
      </c>
      <c r="C225" s="14">
        <v>0.72</v>
      </c>
    </row>
    <row r="226" spans="2:3" x14ac:dyDescent="0.3">
      <c r="B226" t="s">
        <v>1658</v>
      </c>
      <c r="C226" s="166" t="s">
        <v>1750</v>
      </c>
    </row>
    <row r="227" spans="2:3" x14ac:dyDescent="0.3">
      <c r="C227" s="166" t="s">
        <v>1751</v>
      </c>
    </row>
    <row r="228" spans="2:3" x14ac:dyDescent="0.3">
      <c r="C228" s="166" t="s">
        <v>1752</v>
      </c>
    </row>
    <row r="229" spans="2:3" x14ac:dyDescent="0.3">
      <c r="C229" s="166" t="s">
        <v>1753</v>
      </c>
    </row>
    <row r="230" spans="2:3" x14ac:dyDescent="0.3">
      <c r="C230" s="166" t="s">
        <v>1754</v>
      </c>
    </row>
    <row r="231" spans="2:3" x14ac:dyDescent="0.3">
      <c r="C231" s="166" t="s">
        <v>1755</v>
      </c>
    </row>
    <row r="233" spans="2:3" x14ac:dyDescent="0.3">
      <c r="B233" t="s">
        <v>1659</v>
      </c>
      <c r="C233" t="s">
        <v>1756</v>
      </c>
    </row>
    <row r="234" spans="2:3" x14ac:dyDescent="0.3">
      <c r="C234" t="s">
        <v>1757</v>
      </c>
    </row>
    <row r="235" spans="2:3" x14ac:dyDescent="0.3">
      <c r="C235" t="s">
        <v>1758</v>
      </c>
    </row>
    <row r="236" spans="2:3" x14ac:dyDescent="0.3">
      <c r="C236" t="s">
        <v>1746</v>
      </c>
    </row>
    <row r="237" spans="2:3" x14ac:dyDescent="0.3">
      <c r="C237" t="s">
        <v>1684</v>
      </c>
    </row>
    <row r="238" spans="2:3" x14ac:dyDescent="0.3">
      <c r="C238" t="s">
        <v>1759</v>
      </c>
    </row>
    <row r="239" spans="2:3" x14ac:dyDescent="0.3">
      <c r="C239" t="s">
        <v>1745</v>
      </c>
    </row>
    <row r="240" spans="2:3" x14ac:dyDescent="0.3">
      <c r="C240" t="s">
        <v>1760</v>
      </c>
    </row>
    <row r="241" spans="2:4" x14ac:dyDescent="0.3">
      <c r="C241" t="s">
        <v>1761</v>
      </c>
    </row>
    <row r="242" spans="2:4" x14ac:dyDescent="0.3">
      <c r="C242" t="s">
        <v>1670</v>
      </c>
    </row>
    <row r="248" spans="2:4" x14ac:dyDescent="0.3">
      <c r="B248" s="253" t="s">
        <v>1762</v>
      </c>
      <c r="D248" s="1" t="s">
        <v>1653</v>
      </c>
    </row>
    <row r="249" spans="2:4" x14ac:dyDescent="0.3">
      <c r="B249" t="s">
        <v>1654</v>
      </c>
      <c r="C249" s="14">
        <v>0.18</v>
      </c>
      <c r="D249" s="166" t="s">
        <v>1763</v>
      </c>
    </row>
    <row r="250" spans="2:4" x14ac:dyDescent="0.3">
      <c r="B250" t="s">
        <v>1656</v>
      </c>
      <c r="C250">
        <v>25</v>
      </c>
    </row>
    <row r="251" spans="2:4" x14ac:dyDescent="0.3">
      <c r="B251" t="s">
        <v>1657</v>
      </c>
      <c r="C251" s="14">
        <v>0.18</v>
      </c>
    </row>
    <row r="252" spans="2:4" x14ac:dyDescent="0.3">
      <c r="B252" t="s">
        <v>1658</v>
      </c>
      <c r="C252" s="166" t="s">
        <v>1764</v>
      </c>
    </row>
    <row r="253" spans="2:4" x14ac:dyDescent="0.3">
      <c r="C253" s="166" t="s">
        <v>1765</v>
      </c>
    </row>
    <row r="254" spans="2:4" x14ac:dyDescent="0.3">
      <c r="C254" s="166" t="s">
        <v>1766</v>
      </c>
    </row>
    <row r="255" spans="2:4" x14ac:dyDescent="0.3">
      <c r="C255" s="166" t="s">
        <v>1767</v>
      </c>
    </row>
    <row r="257" spans="2:4" x14ac:dyDescent="0.3">
      <c r="B257" t="s">
        <v>1659</v>
      </c>
      <c r="C257" t="s">
        <v>1768</v>
      </c>
    </row>
    <row r="258" spans="2:4" x14ac:dyDescent="0.3">
      <c r="C258" t="s">
        <v>1704</v>
      </c>
    </row>
    <row r="259" spans="2:4" x14ac:dyDescent="0.3">
      <c r="C259" t="s">
        <v>1769</v>
      </c>
    </row>
    <row r="265" spans="2:4" x14ac:dyDescent="0.3">
      <c r="B265" s="253" t="s">
        <v>1780</v>
      </c>
      <c r="D265" s="1" t="s">
        <v>1653</v>
      </c>
    </row>
    <row r="266" spans="2:4" x14ac:dyDescent="0.3">
      <c r="B266" t="s">
        <v>1654</v>
      </c>
      <c r="C266" s="14">
        <v>0.35</v>
      </c>
      <c r="D266" s="166" t="s">
        <v>1770</v>
      </c>
    </row>
    <row r="267" spans="2:4" x14ac:dyDescent="0.3">
      <c r="B267" t="s">
        <v>1656</v>
      </c>
      <c r="C267">
        <v>25</v>
      </c>
    </row>
    <row r="268" spans="2:4" x14ac:dyDescent="0.3">
      <c r="B268" t="s">
        <v>1657</v>
      </c>
      <c r="C268" s="14">
        <v>0.2</v>
      </c>
    </row>
    <row r="269" spans="2:4" x14ac:dyDescent="0.3">
      <c r="B269" t="s">
        <v>1658</v>
      </c>
      <c r="C269" s="166" t="s">
        <v>562</v>
      </c>
    </row>
    <row r="270" spans="2:4" x14ac:dyDescent="0.3">
      <c r="C270" s="166" t="s">
        <v>1771</v>
      </c>
    </row>
    <row r="271" spans="2:4" x14ac:dyDescent="0.3">
      <c r="C271" s="166" t="s">
        <v>1772</v>
      </c>
    </row>
    <row r="272" spans="2:4" x14ac:dyDescent="0.3">
      <c r="C272" s="166" t="s">
        <v>1773</v>
      </c>
    </row>
    <row r="273" spans="2:4" x14ac:dyDescent="0.3">
      <c r="C273" s="166" t="s">
        <v>1774</v>
      </c>
    </row>
    <row r="275" spans="2:4" x14ac:dyDescent="0.3">
      <c r="B275" t="s">
        <v>1659</v>
      </c>
      <c r="C275" t="s">
        <v>1775</v>
      </c>
    </row>
    <row r="276" spans="2:4" x14ac:dyDescent="0.3">
      <c r="C276" t="s">
        <v>1776</v>
      </c>
    </row>
    <row r="277" spans="2:4" x14ac:dyDescent="0.3">
      <c r="C277" t="s">
        <v>1777</v>
      </c>
    </row>
    <row r="278" spans="2:4" x14ac:dyDescent="0.3">
      <c r="C278" t="s">
        <v>1778</v>
      </c>
    </row>
    <row r="279" spans="2:4" x14ac:dyDescent="0.3">
      <c r="C279" t="s">
        <v>1779</v>
      </c>
    </row>
    <row r="280" spans="2:4" x14ac:dyDescent="0.3">
      <c r="C280" t="s">
        <v>1704</v>
      </c>
    </row>
    <row r="285" spans="2:4" x14ac:dyDescent="0.3">
      <c r="B285" s="253" t="s">
        <v>1781</v>
      </c>
      <c r="D285" s="1" t="s">
        <v>1653</v>
      </c>
    </row>
    <row r="286" spans="2:4" x14ac:dyDescent="0.3">
      <c r="B286" t="s">
        <v>1654</v>
      </c>
      <c r="C286" s="14">
        <v>0.35</v>
      </c>
      <c r="D286" s="166" t="s">
        <v>1770</v>
      </c>
    </row>
    <row r="287" spans="2:4" x14ac:dyDescent="0.3">
      <c r="B287" t="s">
        <v>1656</v>
      </c>
      <c r="C287">
        <v>25</v>
      </c>
    </row>
    <row r="288" spans="2:4" x14ac:dyDescent="0.3">
      <c r="B288" t="s">
        <v>1657</v>
      </c>
      <c r="C288" s="14">
        <v>0.16</v>
      </c>
    </row>
    <row r="289" spans="2:3" x14ac:dyDescent="0.3">
      <c r="B289" t="s">
        <v>1658</v>
      </c>
      <c r="C289" s="166" t="s">
        <v>1782</v>
      </c>
    </row>
    <row r="290" spans="2:3" x14ac:dyDescent="0.3">
      <c r="C290" s="166" t="s">
        <v>1783</v>
      </c>
    </row>
    <row r="291" spans="2:3" x14ac:dyDescent="0.3">
      <c r="C291" s="166" t="s">
        <v>1784</v>
      </c>
    </row>
    <row r="292" spans="2:3" x14ac:dyDescent="0.3">
      <c r="C292" s="166" t="s">
        <v>1785</v>
      </c>
    </row>
    <row r="293" spans="2:3" x14ac:dyDescent="0.3">
      <c r="C293" s="166" t="s">
        <v>1786</v>
      </c>
    </row>
    <row r="294" spans="2:3" x14ac:dyDescent="0.3">
      <c r="C294" s="166" t="s">
        <v>1787</v>
      </c>
    </row>
    <row r="296" spans="2:3" x14ac:dyDescent="0.3">
      <c r="B296" t="s">
        <v>1659</v>
      </c>
      <c r="C296" t="s">
        <v>1775</v>
      </c>
    </row>
    <row r="297" spans="2:3" x14ac:dyDescent="0.3">
      <c r="C297" t="s">
        <v>1776</v>
      </c>
    </row>
    <row r="298" spans="2:3" x14ac:dyDescent="0.3">
      <c r="C298" t="s">
        <v>1777</v>
      </c>
    </row>
    <row r="299" spans="2:3" x14ac:dyDescent="0.3">
      <c r="C299" t="s">
        <v>1778</v>
      </c>
    </row>
    <row r="300" spans="2:3" x14ac:dyDescent="0.3">
      <c r="C300" t="s">
        <v>1779</v>
      </c>
    </row>
    <row r="301" spans="2:3" x14ac:dyDescent="0.3">
      <c r="C301" t="s">
        <v>1704</v>
      </c>
    </row>
    <row r="307" spans="2:4" x14ac:dyDescent="0.3">
      <c r="B307" s="253" t="s">
        <v>1788</v>
      </c>
      <c r="D307" s="1" t="s">
        <v>1653</v>
      </c>
    </row>
    <row r="308" spans="2:4" x14ac:dyDescent="0.3">
      <c r="B308" t="s">
        <v>1654</v>
      </c>
      <c r="C308" s="14">
        <v>0.2</v>
      </c>
      <c r="D308" s="166" t="s">
        <v>1789</v>
      </c>
    </row>
    <row r="309" spans="2:4" x14ac:dyDescent="0.3">
      <c r="B309" t="s">
        <v>1656</v>
      </c>
      <c r="C309">
        <v>25</v>
      </c>
    </row>
    <row r="310" spans="2:4" x14ac:dyDescent="0.3">
      <c r="B310" t="s">
        <v>1657</v>
      </c>
      <c r="C310" s="14">
        <v>0.21</v>
      </c>
    </row>
    <row r="311" spans="2:4" x14ac:dyDescent="0.3">
      <c r="B311" t="s">
        <v>1658</v>
      </c>
      <c r="C311" s="166" t="s">
        <v>1790</v>
      </c>
    </row>
    <row r="312" spans="2:4" x14ac:dyDescent="0.3">
      <c r="C312" s="166" t="s">
        <v>1791</v>
      </c>
    </row>
    <row r="313" spans="2:4" x14ac:dyDescent="0.3">
      <c r="C313" s="166" t="s">
        <v>1792</v>
      </c>
    </row>
    <row r="314" spans="2:4" x14ac:dyDescent="0.3">
      <c r="C314" s="166" t="s">
        <v>1793</v>
      </c>
    </row>
    <row r="316" spans="2:4" x14ac:dyDescent="0.3">
      <c r="B316" t="s">
        <v>1659</v>
      </c>
      <c r="C316" t="s">
        <v>1684</v>
      </c>
    </row>
    <row r="317" spans="2:4" x14ac:dyDescent="0.3">
      <c r="C317" t="s">
        <v>1794</v>
      </c>
    </row>
    <row r="318" spans="2:4" x14ac:dyDescent="0.3">
      <c r="C318" t="s">
        <v>1795</v>
      </c>
    </row>
    <row r="319" spans="2:4" x14ac:dyDescent="0.3">
      <c r="C319" t="s">
        <v>1796</v>
      </c>
    </row>
    <row r="320" spans="2:4" x14ac:dyDescent="0.3">
      <c r="C320" t="s">
        <v>1797</v>
      </c>
    </row>
    <row r="326" spans="2:4" x14ac:dyDescent="0.3">
      <c r="B326" s="253" t="s">
        <v>1798</v>
      </c>
      <c r="D326" s="1" t="s">
        <v>1653</v>
      </c>
    </row>
    <row r="327" spans="2:4" x14ac:dyDescent="0.3">
      <c r="B327" t="s">
        <v>1654</v>
      </c>
      <c r="C327" s="14">
        <v>0.45</v>
      </c>
      <c r="D327" s="166" t="s">
        <v>1770</v>
      </c>
    </row>
    <row r="328" spans="2:4" x14ac:dyDescent="0.3">
      <c r="B328" t="s">
        <v>1656</v>
      </c>
      <c r="C328">
        <v>30</v>
      </c>
    </row>
    <row r="329" spans="2:4" x14ac:dyDescent="0.3">
      <c r="B329" t="s">
        <v>1657</v>
      </c>
      <c r="C329" s="14">
        <v>0.45</v>
      </c>
    </row>
    <row r="330" spans="2:4" x14ac:dyDescent="0.3">
      <c r="B330" t="s">
        <v>1658</v>
      </c>
      <c r="C330" s="166" t="s">
        <v>1799</v>
      </c>
    </row>
    <row r="331" spans="2:4" x14ac:dyDescent="0.3">
      <c r="C331" s="166" t="s">
        <v>1800</v>
      </c>
    </row>
    <row r="332" spans="2:4" x14ac:dyDescent="0.3">
      <c r="C332" s="166" t="s">
        <v>1801</v>
      </c>
    </row>
    <row r="333" spans="2:4" x14ac:dyDescent="0.3">
      <c r="C333" s="166" t="s">
        <v>1802</v>
      </c>
    </row>
    <row r="334" spans="2:4" x14ac:dyDescent="0.3">
      <c r="C334" s="166" t="s">
        <v>1803</v>
      </c>
    </row>
    <row r="335" spans="2:4" x14ac:dyDescent="0.3">
      <c r="C335" s="166" t="s">
        <v>1804</v>
      </c>
    </row>
    <row r="337" spans="2:4" x14ac:dyDescent="0.3">
      <c r="B337" t="s">
        <v>1659</v>
      </c>
      <c r="C337" t="s">
        <v>1805</v>
      </c>
    </row>
    <row r="338" spans="2:4" x14ac:dyDescent="0.3">
      <c r="C338" t="s">
        <v>1806</v>
      </c>
    </row>
    <row r="339" spans="2:4" x14ac:dyDescent="0.3">
      <c r="C339" t="s">
        <v>1807</v>
      </c>
    </row>
    <row r="340" spans="2:4" x14ac:dyDescent="0.3">
      <c r="C340" t="s">
        <v>1808</v>
      </c>
    </row>
    <row r="341" spans="2:4" x14ac:dyDescent="0.3">
      <c r="C341" t="s">
        <v>1809</v>
      </c>
    </row>
    <row r="342" spans="2:4" x14ac:dyDescent="0.3">
      <c r="C342" t="s">
        <v>1810</v>
      </c>
    </row>
    <row r="343" spans="2:4" x14ac:dyDescent="0.3">
      <c r="C343" t="s">
        <v>1761</v>
      </c>
    </row>
    <row r="344" spans="2:4" x14ac:dyDescent="0.3">
      <c r="C344" t="s">
        <v>1811</v>
      </c>
    </row>
    <row r="345" spans="2:4" x14ac:dyDescent="0.3">
      <c r="C345" t="s">
        <v>1797</v>
      </c>
    </row>
    <row r="351" spans="2:4" x14ac:dyDescent="0.3">
      <c r="B351" s="253" t="s">
        <v>1812</v>
      </c>
      <c r="D351" s="1" t="s">
        <v>1653</v>
      </c>
    </row>
    <row r="352" spans="2:4" x14ac:dyDescent="0.3">
      <c r="B352" t="s">
        <v>1654</v>
      </c>
      <c r="C352" s="14">
        <v>0.16700000000000001</v>
      </c>
      <c r="D352" s="166" t="s">
        <v>1813</v>
      </c>
    </row>
    <row r="353" spans="2:3" x14ac:dyDescent="0.3">
      <c r="B353" t="s">
        <v>1656</v>
      </c>
      <c r="C353">
        <v>13</v>
      </c>
    </row>
    <row r="354" spans="2:3" x14ac:dyDescent="0.3">
      <c r="B354" t="s">
        <v>1657</v>
      </c>
      <c r="C354" s="14">
        <v>0.7</v>
      </c>
    </row>
    <row r="355" spans="2:3" x14ac:dyDescent="0.3">
      <c r="B355" t="s">
        <v>1658</v>
      </c>
      <c r="C355" s="274" t="s">
        <v>1832</v>
      </c>
    </row>
    <row r="356" spans="2:3" x14ac:dyDescent="0.3">
      <c r="C356" s="274" t="s">
        <v>1833</v>
      </c>
    </row>
    <row r="357" spans="2:3" x14ac:dyDescent="0.3">
      <c r="C357" s="274" t="s">
        <v>1834</v>
      </c>
    </row>
    <row r="358" spans="2:3" x14ac:dyDescent="0.3">
      <c r="C358" s="274" t="s">
        <v>1835</v>
      </c>
    </row>
    <row r="359" spans="2:3" x14ac:dyDescent="0.3">
      <c r="C359" s="274" t="s">
        <v>1836</v>
      </c>
    </row>
    <row r="360" spans="2:3" x14ac:dyDescent="0.3">
      <c r="C360" s="274" t="s">
        <v>1837</v>
      </c>
    </row>
    <row r="362" spans="2:3" x14ac:dyDescent="0.3">
      <c r="B362" t="s">
        <v>1659</v>
      </c>
      <c r="C362" t="s">
        <v>1814</v>
      </c>
    </row>
    <row r="363" spans="2:3" x14ac:dyDescent="0.3">
      <c r="C363" t="s">
        <v>1815</v>
      </c>
    </row>
    <row r="364" spans="2:3" x14ac:dyDescent="0.3">
      <c r="C364" t="s">
        <v>1816</v>
      </c>
    </row>
    <row r="365" spans="2:3" x14ac:dyDescent="0.3">
      <c r="C365" t="s">
        <v>1670</v>
      </c>
    </row>
    <row r="371" spans="2:4" x14ac:dyDescent="0.3">
      <c r="B371" s="253" t="s">
        <v>1817</v>
      </c>
      <c r="D371" s="1" t="s">
        <v>1653</v>
      </c>
    </row>
    <row r="372" spans="2:4" x14ac:dyDescent="0.3">
      <c r="B372" t="s">
        <v>1654</v>
      </c>
      <c r="C372" s="14">
        <v>0.5</v>
      </c>
      <c r="D372" s="166" t="s">
        <v>1818</v>
      </c>
    </row>
    <row r="373" spans="2:4" x14ac:dyDescent="0.3">
      <c r="B373" t="s">
        <v>1656</v>
      </c>
      <c r="C373">
        <v>20</v>
      </c>
    </row>
    <row r="374" spans="2:4" x14ac:dyDescent="0.3">
      <c r="B374" t="s">
        <v>1657</v>
      </c>
      <c r="C374" s="14">
        <v>0.2</v>
      </c>
    </row>
    <row r="375" spans="2:4" x14ac:dyDescent="0.3">
      <c r="B375" t="s">
        <v>1658</v>
      </c>
      <c r="C375" s="274" t="s">
        <v>1838</v>
      </c>
    </row>
    <row r="376" spans="2:4" x14ac:dyDescent="0.3">
      <c r="C376" s="274" t="s">
        <v>1839</v>
      </c>
    </row>
    <row r="377" spans="2:4" x14ac:dyDescent="0.3">
      <c r="C377" s="274" t="s">
        <v>1840</v>
      </c>
    </row>
    <row r="378" spans="2:4" x14ac:dyDescent="0.3">
      <c r="C378" s="274" t="s">
        <v>1841</v>
      </c>
    </row>
    <row r="380" spans="2:4" x14ac:dyDescent="0.3">
      <c r="B380" t="s">
        <v>1659</v>
      </c>
      <c r="C380" t="s">
        <v>1820</v>
      </c>
    </row>
    <row r="381" spans="2:4" x14ac:dyDescent="0.3">
      <c r="C381" t="s">
        <v>1684</v>
      </c>
    </row>
    <row r="382" spans="2:4" x14ac:dyDescent="0.3">
      <c r="C382" t="s">
        <v>1821</v>
      </c>
    </row>
    <row r="388" spans="2:4" x14ac:dyDescent="0.3">
      <c r="B388" s="253" t="s">
        <v>1819</v>
      </c>
      <c r="D388" s="1" t="s">
        <v>1653</v>
      </c>
    </row>
    <row r="389" spans="2:4" x14ac:dyDescent="0.3">
      <c r="B389" t="s">
        <v>1654</v>
      </c>
      <c r="C389" s="14">
        <v>0.6</v>
      </c>
      <c r="D389" s="166" t="s">
        <v>1502</v>
      </c>
    </row>
    <row r="390" spans="2:4" x14ac:dyDescent="0.3">
      <c r="B390" t="s">
        <v>1656</v>
      </c>
      <c r="C390">
        <v>20</v>
      </c>
    </row>
    <row r="391" spans="2:4" x14ac:dyDescent="0.3">
      <c r="B391" t="s">
        <v>1657</v>
      </c>
      <c r="C391" s="14">
        <v>0.27</v>
      </c>
    </row>
    <row r="392" spans="2:4" x14ac:dyDescent="0.3">
      <c r="B392" t="s">
        <v>1658</v>
      </c>
      <c r="C392" s="166" t="s">
        <v>1867</v>
      </c>
    </row>
    <row r="393" spans="2:4" x14ac:dyDescent="0.3">
      <c r="C393" s="166" t="s">
        <v>1865</v>
      </c>
    </row>
    <row r="394" spans="2:4" x14ac:dyDescent="0.3">
      <c r="C394" s="166" t="s">
        <v>1866</v>
      </c>
    </row>
    <row r="395" spans="2:4" x14ac:dyDescent="0.3">
      <c r="C395" s="166" t="s">
        <v>1868</v>
      </c>
    </row>
    <row r="396" spans="2:4" x14ac:dyDescent="0.3">
      <c r="C396" s="166" t="s">
        <v>1869</v>
      </c>
    </row>
    <row r="398" spans="2:4" x14ac:dyDescent="0.3">
      <c r="B398" t="s">
        <v>1659</v>
      </c>
      <c r="C398" t="s">
        <v>1702</v>
      </c>
    </row>
    <row r="399" spans="2:4" x14ac:dyDescent="0.3">
      <c r="C399" t="s">
        <v>1822</v>
      </c>
    </row>
    <row r="400" spans="2:4" x14ac:dyDescent="0.3">
      <c r="C400" t="s">
        <v>1823</v>
      </c>
    </row>
    <row r="401" spans="2:4" x14ac:dyDescent="0.3">
      <c r="C401" t="s">
        <v>1670</v>
      </c>
    </row>
    <row r="407" spans="2:4" x14ac:dyDescent="0.3">
      <c r="B407" s="253" t="s">
        <v>1842</v>
      </c>
    </row>
    <row r="408" spans="2:4" x14ac:dyDescent="0.3">
      <c r="B408" t="s">
        <v>1656</v>
      </c>
      <c r="C408">
        <v>25</v>
      </c>
    </row>
    <row r="409" spans="2:4" x14ac:dyDescent="0.3">
      <c r="B409" t="s">
        <v>1657</v>
      </c>
      <c r="C409" s="14">
        <v>0.22</v>
      </c>
    </row>
    <row r="410" spans="2:4" x14ac:dyDescent="0.3">
      <c r="B410" t="s">
        <v>1843</v>
      </c>
      <c r="C410">
        <v>6</v>
      </c>
    </row>
    <row r="411" spans="2:4" x14ac:dyDescent="0.3">
      <c r="B411" t="s">
        <v>1844</v>
      </c>
      <c r="C411" s="14">
        <v>0.9</v>
      </c>
    </row>
    <row r="412" spans="2:4" x14ac:dyDescent="0.3">
      <c r="B412" t="s">
        <v>1845</v>
      </c>
      <c r="C412">
        <f>C410*C408*C411</f>
        <v>135</v>
      </c>
      <c r="D412" t="s">
        <v>1850</v>
      </c>
    </row>
    <row r="413" spans="2:4" x14ac:dyDescent="0.3">
      <c r="B413" t="s">
        <v>1658</v>
      </c>
      <c r="C413" s="166" t="s">
        <v>1802</v>
      </c>
    </row>
    <row r="414" spans="2:4" x14ac:dyDescent="0.3">
      <c r="C414" s="166" t="s">
        <v>1846</v>
      </c>
    </row>
    <row r="416" spans="2:4" x14ac:dyDescent="0.3">
      <c r="B416" t="s">
        <v>1659</v>
      </c>
      <c r="C416" t="s">
        <v>1847</v>
      </c>
    </row>
    <row r="417" spans="2:3" x14ac:dyDescent="0.3">
      <c r="C417" t="s">
        <v>1848</v>
      </c>
    </row>
    <row r="418" spans="2:3" x14ac:dyDescent="0.3">
      <c r="C418" t="s">
        <v>1849</v>
      </c>
    </row>
    <row r="419" spans="2:3" x14ac:dyDescent="0.3">
      <c r="C419" t="s">
        <v>1704</v>
      </c>
    </row>
    <row r="423" spans="2:3" x14ac:dyDescent="0.3">
      <c r="B423" s="253" t="s">
        <v>1851</v>
      </c>
    </row>
    <row r="424" spans="2:3" x14ac:dyDescent="0.3">
      <c r="B424" t="s">
        <v>1656</v>
      </c>
      <c r="C424">
        <v>15</v>
      </c>
    </row>
    <row r="425" spans="2:3" x14ac:dyDescent="0.3">
      <c r="B425" t="s">
        <v>1657</v>
      </c>
      <c r="C425" s="14">
        <v>0.51</v>
      </c>
    </row>
    <row r="426" spans="2:3" x14ac:dyDescent="0.3">
      <c r="B426" t="s">
        <v>1843</v>
      </c>
      <c r="C426">
        <v>50</v>
      </c>
    </row>
    <row r="427" spans="2:3" x14ac:dyDescent="0.3">
      <c r="B427" t="s">
        <v>1852</v>
      </c>
      <c r="C427" s="14">
        <v>0.85</v>
      </c>
    </row>
    <row r="428" spans="2:3" x14ac:dyDescent="0.3">
      <c r="B428" t="s">
        <v>1845</v>
      </c>
      <c r="C428">
        <f>C426*C424*C427</f>
        <v>637.5</v>
      </c>
    </row>
    <row r="429" spans="2:3" x14ac:dyDescent="0.3">
      <c r="B429" t="s">
        <v>1658</v>
      </c>
      <c r="C429" s="166" t="s">
        <v>1853</v>
      </c>
    </row>
    <row r="430" spans="2:3" x14ac:dyDescent="0.3">
      <c r="C430" s="166" t="s">
        <v>1854</v>
      </c>
    </row>
    <row r="432" spans="2:3" x14ac:dyDescent="0.3">
      <c r="B432" t="s">
        <v>1659</v>
      </c>
      <c r="C432" t="s">
        <v>1855</v>
      </c>
    </row>
    <row r="433" spans="2:3" x14ac:dyDescent="0.3">
      <c r="C433" t="s">
        <v>1856</v>
      </c>
    </row>
    <row r="434" spans="2:3" x14ac:dyDescent="0.3">
      <c r="C434" t="s">
        <v>1857</v>
      </c>
    </row>
    <row r="435" spans="2:3" x14ac:dyDescent="0.3">
      <c r="C435" t="s">
        <v>1797</v>
      </c>
    </row>
    <row r="439" spans="2:3" x14ac:dyDescent="0.3">
      <c r="B439" s="253" t="s">
        <v>1858</v>
      </c>
    </row>
    <row r="440" spans="2:3" x14ac:dyDescent="0.3">
      <c r="B440" t="s">
        <v>1656</v>
      </c>
      <c r="C440">
        <v>50</v>
      </c>
    </row>
    <row r="441" spans="2:3" x14ac:dyDescent="0.3">
      <c r="B441" t="s">
        <v>1657</v>
      </c>
      <c r="C441" s="14">
        <v>0.43</v>
      </c>
    </row>
    <row r="442" spans="2:3" x14ac:dyDescent="0.3">
      <c r="B442" t="s">
        <v>1843</v>
      </c>
      <c r="C442">
        <v>50</v>
      </c>
    </row>
    <row r="443" spans="2:3" x14ac:dyDescent="0.3">
      <c r="B443" t="s">
        <v>1852</v>
      </c>
      <c r="C443" s="14">
        <v>0.85</v>
      </c>
    </row>
    <row r="444" spans="2:3" x14ac:dyDescent="0.3">
      <c r="B444" t="s">
        <v>1845</v>
      </c>
      <c r="C444">
        <f>C442*C440*C443</f>
        <v>2125</v>
      </c>
    </row>
    <row r="445" spans="2:3" x14ac:dyDescent="0.3">
      <c r="B445" t="s">
        <v>1658</v>
      </c>
      <c r="C445" s="166" t="s">
        <v>1859</v>
      </c>
    </row>
    <row r="446" spans="2:3" x14ac:dyDescent="0.3">
      <c r="C446" s="166" t="s">
        <v>1860</v>
      </c>
    </row>
    <row r="447" spans="2:3" x14ac:dyDescent="0.3">
      <c r="C447" s="166" t="s">
        <v>1861</v>
      </c>
    </row>
    <row r="448" spans="2:3" x14ac:dyDescent="0.3">
      <c r="C448" s="166" t="s">
        <v>1862</v>
      </c>
    </row>
    <row r="450" spans="2:3" x14ac:dyDescent="0.3">
      <c r="B450" t="s">
        <v>1659</v>
      </c>
      <c r="C450" t="s">
        <v>1863</v>
      </c>
    </row>
    <row r="451" spans="2:3" x14ac:dyDescent="0.3">
      <c r="C451" t="s">
        <v>1864</v>
      </c>
    </row>
    <row r="452" spans="2:3" x14ac:dyDescent="0.3">
      <c r="C452" t="s">
        <v>1856</v>
      </c>
    </row>
    <row r="453" spans="2:3" x14ac:dyDescent="0.3">
      <c r="C453" t="s">
        <v>1857</v>
      </c>
    </row>
  </sheetData>
  <hyperlinks>
    <hyperlink ref="D3" r:id="rId1" xr:uid="{4D75B759-6569-418A-A80A-A62AA8C23231}"/>
    <hyperlink ref="C28" r:id="rId2" xr:uid="{283230BE-18FF-4A18-9C06-2941552600C5}"/>
    <hyperlink ref="C29" r:id="rId3" xr:uid="{53AC4520-01C1-4674-AA27-9ABEE06F3A83}"/>
    <hyperlink ref="C30" r:id="rId4" xr:uid="{D89CD926-8402-46B0-B23E-1F2294FE6F58}"/>
    <hyperlink ref="C31" r:id="rId5" xr:uid="{C73C566A-7C17-406E-8EE1-636737503DB7}"/>
    <hyperlink ref="D42" r:id="rId6" xr:uid="{2EAC34E3-D13B-47CA-8405-7BBA253F7597}"/>
    <hyperlink ref="C45" r:id="rId7" xr:uid="{915315EA-FC42-4B70-9CB8-45B1CBB98DA3}"/>
    <hyperlink ref="C46" r:id="rId8" xr:uid="{522FFEC6-4335-4D2F-9691-6D3CFA3F604F}"/>
    <hyperlink ref="C47" r:id="rId9" xr:uid="{97F4E9D1-713B-4855-ABC8-BE4EC14D7E11}"/>
    <hyperlink ref="C48" r:id="rId10" xr:uid="{1D4BEA40-FCDC-423C-A125-B95092E1729A}"/>
    <hyperlink ref="C49" r:id="rId11" xr:uid="{2BF33A35-E665-49B7-8B81-7376A63F9BF0}"/>
    <hyperlink ref="D62" r:id="rId12" xr:uid="{FF90C504-6EFF-4B66-99B4-C58DF0384509}"/>
    <hyperlink ref="C65" r:id="rId13" xr:uid="{732ED9BF-9B67-486B-AC02-C986F7F8DAD6}"/>
    <hyperlink ref="C66" r:id="rId14" xr:uid="{697E8202-D05F-4F53-A3F0-5DD6786A7158}"/>
    <hyperlink ref="D78" r:id="rId15" xr:uid="{E1C460BF-08C2-45FC-AEC8-2A7590DA8EFF}"/>
    <hyperlink ref="D77" r:id="rId16" xr:uid="{622759BF-E3F5-4943-97B4-BA8ABAC879FE}"/>
    <hyperlink ref="C81" r:id="rId17" xr:uid="{C5D739FF-2836-4581-B242-05D9A3A73F21}"/>
    <hyperlink ref="C82" r:id="rId18" xr:uid="{C22EA0D4-0C3A-4383-B637-C58CBA01D0F6}"/>
    <hyperlink ref="C83" r:id="rId19" xr:uid="{DD80596E-3FF1-44EE-B9DB-133EEF76FE82}"/>
    <hyperlink ref="C84" r:id="rId20" xr:uid="{3C5B25B0-039E-497D-8916-CDA56E1F25B0}"/>
    <hyperlink ref="C85" r:id="rId21" xr:uid="{9ECBC3C1-623F-44B4-91AC-0EB13A643D28}"/>
    <hyperlink ref="C86" r:id="rId22" xr:uid="{C01C2772-4415-49EC-AB50-488C5650A51D}"/>
    <hyperlink ref="D100" r:id="rId23" xr:uid="{1938695F-8546-49D8-B608-34D3100CC331}"/>
    <hyperlink ref="C103" r:id="rId24" xr:uid="{E0760950-1A00-40FE-8E1B-B23D27400028}"/>
    <hyperlink ref="C104" r:id="rId25" xr:uid="{5C443C45-8521-4B9B-BF82-633D45C83E4E}"/>
    <hyperlink ref="C105" r:id="rId26" xr:uid="{F79C5954-34A6-4656-A2FA-6CFEDE12C3D5}"/>
    <hyperlink ref="C106" r:id="rId27" xr:uid="{A5FF7F81-C5E7-419F-939E-842BE4417339}"/>
    <hyperlink ref="C125" r:id="rId28" xr:uid="{24DA2FE5-6207-4AC1-A5F1-EEC9A69C3FB5}"/>
    <hyperlink ref="C126" r:id="rId29" xr:uid="{E7A8CEC5-99A5-4F1A-9AD0-C4F1EBA0B92E}"/>
    <hyperlink ref="C127" r:id="rId30" xr:uid="{F41A46C0-3F7D-4E12-A502-2116F93B3FC3}"/>
    <hyperlink ref="C128" r:id="rId31" xr:uid="{6BD747B5-7592-427B-9BE0-D56595706BF7}"/>
    <hyperlink ref="C129" r:id="rId32" xr:uid="{C55198F4-7CE5-4C7B-BFC6-89139E7EAF4E}"/>
    <hyperlink ref="D144" r:id="rId33" xr:uid="{46A091B6-2D3F-4668-A01D-D9E0D95ACCC1}"/>
    <hyperlink ref="C147" r:id="rId34" xr:uid="{FB273519-82AF-4159-9F8F-8EEC277798A1}"/>
    <hyperlink ref="C148" r:id="rId35" xr:uid="{22425518-B7C8-4A97-889C-3EBD36574722}"/>
    <hyperlink ref="C149" r:id="rId36" xr:uid="{BA238CEB-F3F5-4598-8946-E1BAC070C739}"/>
    <hyperlink ref="C150" r:id="rId37" xr:uid="{08B0D232-BBEB-4092-9CD3-6D6B35CD1FFF}"/>
    <hyperlink ref="C151" r:id="rId38" xr:uid="{739B6AC0-B816-4ED8-BC12-F4CF8C753D83}"/>
    <hyperlink ref="D163" r:id="rId39" xr:uid="{E134FADE-8375-40DC-B086-987D7766B595}"/>
    <hyperlink ref="C166" r:id="rId40" xr:uid="{A84A23C5-ED45-4614-8C74-69D02819C68B}"/>
    <hyperlink ref="C167" r:id="rId41" xr:uid="{CFDD4DEE-BCF8-4D86-B763-5CEDA92CEC59}"/>
    <hyperlink ref="C168" r:id="rId42" xr:uid="{9D2797FE-83D9-4501-BDA4-B30CDDADCB5F}"/>
    <hyperlink ref="C169" r:id="rId43" xr:uid="{0E2A56AF-B97A-4CCA-BDF4-6A13DFBA21A1}"/>
    <hyperlink ref="D180" r:id="rId44" xr:uid="{3B1503DC-23E7-4E3C-94E4-34DBB7A32399}"/>
    <hyperlink ref="C184" r:id="rId45" xr:uid="{A8452969-BB03-4070-ABCA-95BD90E5D629}"/>
    <hyperlink ref="C185" r:id="rId46" xr:uid="{4515F8C1-F98A-46DD-BBED-4E84FB02A29F}"/>
    <hyperlink ref="C186" r:id="rId47" xr:uid="{A4AA468A-F545-4BA7-BD3B-E6B5842AECBD}"/>
    <hyperlink ref="C187" r:id="rId48" xr:uid="{B13B745D-BEF9-43C5-ADA4-1F83A809B323}"/>
    <hyperlink ref="C188" r:id="rId49" xr:uid="{3E5FB649-2A7D-4BD5-8B7A-899744D24796}"/>
    <hyperlink ref="C206" r:id="rId50" xr:uid="{404A6787-0431-4D88-A844-EE9B612290FD}"/>
    <hyperlink ref="C207" r:id="rId51" xr:uid="{BF416B61-16A8-4969-96EB-3A4FCC3281D2}"/>
    <hyperlink ref="C208" r:id="rId52" xr:uid="{9EB33458-4AE2-4BFE-938A-4C1D569022E6}"/>
    <hyperlink ref="C209" r:id="rId53" xr:uid="{5C6533F6-8D34-4E2D-A997-244AA493AFD5}"/>
    <hyperlink ref="C210" r:id="rId54" xr:uid="{3633FA8F-5726-4401-BFB4-A89E66C85B88}"/>
    <hyperlink ref="D202" r:id="rId55" xr:uid="{CF0C9254-823C-4D84-8A60-B1692FAA9D0F}"/>
    <hyperlink ref="C226" r:id="rId56" xr:uid="{FDDCF8D8-5357-49B0-97F9-D15067B52434}"/>
    <hyperlink ref="C227" r:id="rId57" xr:uid="{FD3AF6CD-8D67-4E08-B580-57292C0C6CB9}"/>
    <hyperlink ref="C228" r:id="rId58" xr:uid="{53331ACF-FA8D-4A3C-8E55-CEDD867FD96F}"/>
    <hyperlink ref="C229" r:id="rId59" xr:uid="{18A7318C-AD0C-4025-B503-D067A00CD4C7}"/>
    <hyperlink ref="C230" r:id="rId60" xr:uid="{B0CD2BE2-F02A-477E-A722-EE41BA233C0E}"/>
    <hyperlink ref="C231" r:id="rId61" xr:uid="{134142C9-705C-4A3B-AFDB-F3E3A43B94BD}"/>
    <hyperlink ref="C252" r:id="rId62" xr:uid="{28D06A1A-EB15-4607-B55B-54628CC516BA}"/>
    <hyperlink ref="C253" r:id="rId63" xr:uid="{BBCCC905-EB9D-4B2F-B9CD-F12B9150E742}"/>
    <hyperlink ref="C254" r:id="rId64" xr:uid="{150F420D-B34B-42EE-BEF0-D8047C30D9E9}"/>
    <hyperlink ref="C255" r:id="rId65" xr:uid="{5DF04661-3D9B-40C2-9C93-C864EE043395}"/>
    <hyperlink ref="C269" r:id="rId66" xr:uid="{67F4D108-A560-4380-8BD1-53A60E198136}"/>
    <hyperlink ref="C270" r:id="rId67" xr:uid="{376CD658-C7F3-4630-9435-ED5071F2B3B3}"/>
    <hyperlink ref="C271" r:id="rId68" xr:uid="{3C2F7807-A88D-43E8-9C66-E8E84B340C9D}"/>
    <hyperlink ref="C272" r:id="rId69" xr:uid="{740A0D2C-E92F-47CD-AF04-FFC60A3AF24E}"/>
    <hyperlink ref="C273" r:id="rId70" xr:uid="{B14B0E14-20A1-4C70-AE32-43A4ECAF1CEF}"/>
    <hyperlink ref="C289" r:id="rId71" xr:uid="{B12B1D29-8404-415C-90D9-293E0AD547A7}"/>
    <hyperlink ref="C290" r:id="rId72" xr:uid="{207A0867-09DD-4CF9-B40A-FB0A8B7155D3}"/>
    <hyperlink ref="C291" r:id="rId73" xr:uid="{56D6B7D0-4615-4267-94C4-1CD48E95BAC0}"/>
    <hyperlink ref="C292" r:id="rId74" xr:uid="{1CD1BE60-9A9A-4E4C-A7E4-66BBC12600CD}"/>
    <hyperlink ref="C293" r:id="rId75" xr:uid="{485D69DE-CC7B-443E-8D46-8313D545A9F2}"/>
    <hyperlink ref="C294" r:id="rId76" xr:uid="{D17FDF80-AD8F-437C-B5BE-9E5861046BE0}"/>
    <hyperlink ref="D308" r:id="rId77" xr:uid="{C28FC8E1-A418-4A2E-98B8-526095B84129}"/>
    <hyperlink ref="C311" r:id="rId78" xr:uid="{08AC9D89-D0C0-4B2C-82AA-30BDB7633411}"/>
    <hyperlink ref="C312" r:id="rId79" xr:uid="{10E52331-0451-4706-BFA4-97B8E596592F}"/>
    <hyperlink ref="C313" r:id="rId80" xr:uid="{59E1FDC3-29F2-4B5B-ACF2-07D3724EF3C7}"/>
    <hyperlink ref="C314" r:id="rId81" xr:uid="{0285CD58-A6F8-4D7C-939F-231E53C6C14A}"/>
    <hyperlink ref="C330" r:id="rId82" xr:uid="{91787BA4-F353-404A-BFD2-0966DC4EAE15}"/>
    <hyperlink ref="C331" r:id="rId83" xr:uid="{1D19C793-6968-44AC-B2B2-30D01FE3F273}"/>
    <hyperlink ref="C332" r:id="rId84" xr:uid="{2FEEFEAC-6426-49A3-A83E-BEAD683D88DC}"/>
    <hyperlink ref="C333" r:id="rId85" xr:uid="{77E2BACA-F838-462C-A97C-40F51B4EBE8A}"/>
    <hyperlink ref="C334" r:id="rId86" xr:uid="{9841BD2A-D4CF-4CE2-8DD5-0378EAE65E5B}"/>
    <hyperlink ref="C335" r:id="rId87" xr:uid="{46B4880F-DE0C-4D43-89BA-A963F90AE44B}"/>
    <hyperlink ref="D372" r:id="rId88" xr:uid="{D22E43A0-E61F-4D4C-AD1D-40F5F9BD43DC}"/>
    <hyperlink ref="C6" r:id="rId89" xr:uid="{A291B1BA-1ED7-4D53-A19D-45BDC7C76B3E}"/>
    <hyperlink ref="C7" r:id="rId90" xr:uid="{14D7AA2E-AF82-4E21-B3FC-39D9F12A00ED}"/>
    <hyperlink ref="C8" r:id="rId91" xr:uid="{6F0210BA-AA62-4E54-B348-97AFC00A461A}"/>
    <hyperlink ref="C9" r:id="rId92" xr:uid="{BDA449DD-0012-4FFC-A4B8-5FA1C78FCF46}"/>
    <hyperlink ref="C10" r:id="rId93" xr:uid="{1F6DD4CA-527C-42FC-A8AF-68F0012F13E0}"/>
    <hyperlink ref="C11" r:id="rId94" xr:uid="{2D7CA077-0F71-4F05-8656-0C6F3A725059}"/>
    <hyperlink ref="C12" r:id="rId95" xr:uid="{F8A94FEE-96A2-4770-A42C-2CFCC5839256}"/>
    <hyperlink ref="C355" r:id="rId96" xr:uid="{94AAD430-9DAC-4B23-AD55-0E6B34F4D8F2}"/>
    <hyperlink ref="C356" r:id="rId97" xr:uid="{B6AFA3B2-3F65-4BEA-8896-EA08D84C33C2}"/>
    <hyperlink ref="C357" r:id="rId98" xr:uid="{2B198481-7BDB-4CED-A5E7-4A18E817E050}"/>
    <hyperlink ref="C358" r:id="rId99" xr:uid="{F1BB69D9-02F0-44C9-937B-F7474E6C5D5E}"/>
    <hyperlink ref="C359" r:id="rId100" xr:uid="{5FD6E88B-6309-47F4-B478-4BE89D0A2525}"/>
    <hyperlink ref="C360" r:id="rId101" xr:uid="{E9178D7D-55E1-41C3-988D-EFF18B4137FE}"/>
    <hyperlink ref="C375" r:id="rId102" xr:uid="{7500E6A1-0739-42AD-89D1-0799DB16BCF9}"/>
    <hyperlink ref="C376" r:id="rId103" xr:uid="{83B41AEB-A7F8-49EE-AB47-2800FFD3F8BF}"/>
    <hyperlink ref="C377" r:id="rId104" xr:uid="{7ED12885-D9C5-4BF4-A4AE-84DD41915DC3}"/>
    <hyperlink ref="C378" r:id="rId105" xr:uid="{B33185BA-9928-4DB1-974E-80555CAE0E5C}"/>
    <hyperlink ref="C413" r:id="rId106" xr:uid="{9C9D48CE-453C-4F72-928B-53F7585E6832}"/>
    <hyperlink ref="C414" r:id="rId107" xr:uid="{48E276C1-5C49-4B74-A4FD-E15384F7E30F}"/>
    <hyperlink ref="C429" r:id="rId108" xr:uid="{2ED9B83D-DED0-4883-83A3-DD4CD85E8C73}"/>
    <hyperlink ref="C430" r:id="rId109" xr:uid="{57BFB292-053E-4869-B3FA-C433B0F5740B}"/>
    <hyperlink ref="C445" r:id="rId110" xr:uid="{40837FA3-5441-4C94-A54F-60741A3DC082}"/>
    <hyperlink ref="C446" r:id="rId111" xr:uid="{6678279B-B97E-4B2C-9EA1-A9F2F09F98D3}"/>
    <hyperlink ref="C447" r:id="rId112" xr:uid="{12577091-891C-4070-B2EF-7DE523574B88}"/>
    <hyperlink ref="C448" r:id="rId113" xr:uid="{1C588B9C-30D6-4D66-8D46-8C265E125576}"/>
    <hyperlink ref="C392" r:id="rId114" xr:uid="{BD956991-4B98-4423-9E33-B27ED140CAE2}"/>
    <hyperlink ref="C393" r:id="rId115" xr:uid="{F7DBF486-FAB7-4C97-A1C3-44750EF4E097}"/>
    <hyperlink ref="C394" r:id="rId116" xr:uid="{610FAED3-94D9-44C8-9834-C0FE5051E5B4}"/>
    <hyperlink ref="C395" r:id="rId117" xr:uid="{AD2B0D22-9912-445E-92CB-9B985372CBFA}"/>
    <hyperlink ref="C396" r:id="rId118" xr:uid="{5064ED69-2273-4FEC-8620-D0EC8D11939C}"/>
  </hyperlinks>
  <pageMargins left="0.7" right="0.7" top="0.75" bottom="0.75" header="0.3" footer="0.3"/>
  <drawing r:id="rId11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F1BA-B271-4B41-BA50-FAD510DF014B}">
  <dimension ref="B2:M114"/>
  <sheetViews>
    <sheetView topLeftCell="A28" workbookViewId="0">
      <selection activeCell="G35" sqref="G35"/>
    </sheetView>
  </sheetViews>
  <sheetFormatPr defaultRowHeight="14.4" x14ac:dyDescent="0.3"/>
  <cols>
    <col min="2" max="2" width="8.33203125" customWidth="1"/>
  </cols>
  <sheetData>
    <row r="2" spans="2:2" x14ac:dyDescent="0.3">
      <c r="B2" t="s">
        <v>1467</v>
      </c>
    </row>
    <row r="3" spans="2:2" x14ac:dyDescent="0.3">
      <c r="B3" s="166" t="s">
        <v>1468</v>
      </c>
    </row>
    <row r="25" spans="2:2" x14ac:dyDescent="0.3">
      <c r="B25" t="s">
        <v>1469</v>
      </c>
    </row>
    <row r="28" spans="2:2" x14ac:dyDescent="0.3">
      <c r="B28" t="s">
        <v>1471</v>
      </c>
    </row>
    <row r="32" spans="2:2" x14ac:dyDescent="0.3">
      <c r="B32" t="s">
        <v>1470</v>
      </c>
    </row>
    <row r="34" spans="2:13" x14ac:dyDescent="0.3">
      <c r="B34" s="290" t="s">
        <v>31</v>
      </c>
      <c r="D34" t="s">
        <v>1472</v>
      </c>
      <c r="E34" t="s">
        <v>1473</v>
      </c>
    </row>
    <row r="35" spans="2:13" x14ac:dyDescent="0.3">
      <c r="B35" s="290"/>
      <c r="C35" t="s">
        <v>1474</v>
      </c>
      <c r="D35">
        <v>0.3</v>
      </c>
      <c r="E35" s="277">
        <v>3.3000000000000002E-2</v>
      </c>
    </row>
    <row r="36" spans="2:13" x14ac:dyDescent="0.3">
      <c r="B36" s="290"/>
      <c r="C36" t="s">
        <v>1475</v>
      </c>
      <c r="D36">
        <v>0.35</v>
      </c>
      <c r="E36" s="277"/>
    </row>
    <row r="37" spans="2:13" x14ac:dyDescent="0.3">
      <c r="B37" s="290"/>
      <c r="C37" t="s">
        <v>1476</v>
      </c>
      <c r="D37">
        <v>0.4</v>
      </c>
      <c r="E37" s="277"/>
    </row>
    <row r="39" spans="2:13" x14ac:dyDescent="0.3">
      <c r="B39" s="290" t="s">
        <v>287</v>
      </c>
      <c r="D39" t="s">
        <v>1477</v>
      </c>
      <c r="E39" t="s">
        <v>1478</v>
      </c>
      <c r="F39" t="s">
        <v>1479</v>
      </c>
      <c r="G39" t="s">
        <v>1480</v>
      </c>
      <c r="H39" t="s">
        <v>1481</v>
      </c>
    </row>
    <row r="40" spans="2:13" x14ac:dyDescent="0.3">
      <c r="B40" s="290"/>
      <c r="C40" t="s">
        <v>1474</v>
      </c>
      <c r="D40" s="291">
        <v>0.95</v>
      </c>
      <c r="E40" s="277">
        <v>5.6399999999999999E-2</v>
      </c>
      <c r="F40" s="277" t="s">
        <v>1482</v>
      </c>
      <c r="G40" s="284">
        <v>0.4</v>
      </c>
      <c r="H40" s="284">
        <v>64</v>
      </c>
      <c r="L40" t="s">
        <v>1483</v>
      </c>
      <c r="M40" s="166" t="s">
        <v>1484</v>
      </c>
    </row>
    <row r="41" spans="2:13" x14ac:dyDescent="0.3">
      <c r="B41" s="290"/>
      <c r="C41" t="s">
        <v>1475</v>
      </c>
      <c r="D41" s="277"/>
      <c r="E41" s="277"/>
      <c r="F41" s="277"/>
      <c r="G41" s="284"/>
      <c r="H41" s="284"/>
      <c r="L41" t="s">
        <v>1485</v>
      </c>
      <c r="M41" s="166" t="s">
        <v>1486</v>
      </c>
    </row>
    <row r="42" spans="2:13" x14ac:dyDescent="0.3">
      <c r="B42" s="290"/>
      <c r="C42" t="s">
        <v>1476</v>
      </c>
      <c r="D42" s="277"/>
      <c r="E42" s="277"/>
      <c r="F42" s="277"/>
      <c r="G42" s="284"/>
      <c r="H42" s="284"/>
    </row>
    <row r="44" spans="2:13" x14ac:dyDescent="0.3">
      <c r="B44" s="290" t="s">
        <v>278</v>
      </c>
      <c r="D44" t="s">
        <v>1477</v>
      </c>
      <c r="E44" t="s">
        <v>1478</v>
      </c>
      <c r="F44" t="s">
        <v>1479</v>
      </c>
      <c r="G44" t="s">
        <v>1480</v>
      </c>
      <c r="H44" t="s">
        <v>1481</v>
      </c>
    </row>
    <row r="45" spans="2:13" x14ac:dyDescent="0.3">
      <c r="B45" s="290"/>
      <c r="C45" t="s">
        <v>1474</v>
      </c>
      <c r="D45" s="291">
        <v>0.95</v>
      </c>
      <c r="E45" s="277">
        <v>3.3799999999999997E-2</v>
      </c>
      <c r="F45" s="277" t="s">
        <v>1482</v>
      </c>
      <c r="G45" s="284">
        <v>0.4</v>
      </c>
      <c r="H45" s="284">
        <v>64</v>
      </c>
      <c r="L45" t="s">
        <v>1483</v>
      </c>
      <c r="M45" s="166" t="s">
        <v>1484</v>
      </c>
    </row>
    <row r="46" spans="2:13" x14ac:dyDescent="0.3">
      <c r="B46" s="290"/>
      <c r="C46" t="s">
        <v>1475</v>
      </c>
      <c r="D46" s="277"/>
      <c r="E46" s="277"/>
      <c r="F46" s="277"/>
      <c r="G46" s="284"/>
      <c r="H46" s="284"/>
      <c r="L46" t="s">
        <v>1485</v>
      </c>
      <c r="M46" s="166" t="s">
        <v>1486</v>
      </c>
    </row>
    <row r="47" spans="2:13" x14ac:dyDescent="0.3">
      <c r="B47" s="290"/>
      <c r="C47" t="s">
        <v>1476</v>
      </c>
      <c r="D47" s="277"/>
      <c r="E47" s="277"/>
      <c r="F47" s="277"/>
      <c r="G47" s="284"/>
      <c r="H47" s="284"/>
    </row>
    <row r="49" spans="2:13" x14ac:dyDescent="0.3">
      <c r="D49" t="s">
        <v>1472</v>
      </c>
      <c r="E49" t="s">
        <v>1473</v>
      </c>
      <c r="F49" t="s">
        <v>1479</v>
      </c>
      <c r="G49" t="s">
        <v>1480</v>
      </c>
      <c r="H49" t="s">
        <v>1481</v>
      </c>
      <c r="L49" t="s">
        <v>1483</v>
      </c>
      <c r="M49" s="166" t="s">
        <v>1487</v>
      </c>
    </row>
    <row r="50" spans="2:13" x14ac:dyDescent="0.3">
      <c r="B50" s="253" t="s">
        <v>1488</v>
      </c>
      <c r="C50" t="s">
        <v>1476</v>
      </c>
      <c r="D50" s="14">
        <v>0.2</v>
      </c>
      <c r="E50" s="19">
        <v>0</v>
      </c>
      <c r="F50" s="249" t="s">
        <v>1489</v>
      </c>
      <c r="G50" s="19">
        <v>0.4</v>
      </c>
      <c r="H50" s="19">
        <v>55.5</v>
      </c>
      <c r="L50" t="s">
        <v>1485</v>
      </c>
      <c r="M50" s="166" t="s">
        <v>1490</v>
      </c>
    </row>
    <row r="51" spans="2:13" x14ac:dyDescent="0.3">
      <c r="F51" s="249"/>
    </row>
    <row r="52" spans="2:13" x14ac:dyDescent="0.3">
      <c r="B52" s="290" t="s">
        <v>1491</v>
      </c>
      <c r="D52" t="s">
        <v>1477</v>
      </c>
      <c r="E52" t="s">
        <v>1478</v>
      </c>
      <c r="F52" t="s">
        <v>1479</v>
      </c>
      <c r="G52" t="s">
        <v>1480</v>
      </c>
      <c r="H52" t="s">
        <v>1481</v>
      </c>
    </row>
    <row r="53" spans="2:13" x14ac:dyDescent="0.3">
      <c r="B53" s="290"/>
      <c r="C53" t="s">
        <v>1474</v>
      </c>
      <c r="D53" s="254">
        <v>0.98</v>
      </c>
      <c r="E53" s="277">
        <v>3.3000000000000002E-2</v>
      </c>
      <c r="F53" s="249" t="s">
        <v>1492</v>
      </c>
      <c r="G53" s="284">
        <v>0.3</v>
      </c>
      <c r="H53" s="284">
        <v>40</v>
      </c>
      <c r="L53" t="s">
        <v>1493</v>
      </c>
    </row>
    <row r="54" spans="2:13" x14ac:dyDescent="0.3">
      <c r="B54" s="290"/>
      <c r="C54" t="s">
        <v>1475</v>
      </c>
      <c r="D54" s="255">
        <v>1.05</v>
      </c>
      <c r="E54" s="277"/>
      <c r="F54" s="249" t="s">
        <v>1494</v>
      </c>
      <c r="G54" s="284"/>
      <c r="H54" s="284"/>
    </row>
    <row r="55" spans="2:13" x14ac:dyDescent="0.3">
      <c r="B55" s="290"/>
      <c r="C55" t="s">
        <v>1476</v>
      </c>
      <c r="D55" s="255">
        <v>0.95</v>
      </c>
      <c r="E55" s="277"/>
      <c r="F55" s="249" t="s">
        <v>1494</v>
      </c>
      <c r="G55" s="284"/>
      <c r="H55" s="284"/>
    </row>
    <row r="74" spans="2:13" x14ac:dyDescent="0.3">
      <c r="D74" t="s">
        <v>1495</v>
      </c>
      <c r="E74" t="s">
        <v>1473</v>
      </c>
      <c r="F74" t="s">
        <v>1496</v>
      </c>
      <c r="G74" t="s">
        <v>1480</v>
      </c>
      <c r="H74" t="s">
        <v>1481</v>
      </c>
    </row>
    <row r="75" spans="2:13" x14ac:dyDescent="0.3">
      <c r="B75" s="252" t="s">
        <v>1497</v>
      </c>
      <c r="C75" t="s">
        <v>1498</v>
      </c>
      <c r="D75" s="11">
        <v>1.55</v>
      </c>
      <c r="E75" s="19">
        <v>0</v>
      </c>
      <c r="F75" s="256">
        <f>25/60</f>
        <v>0.41666666666666669</v>
      </c>
      <c r="G75" s="19">
        <v>0.45</v>
      </c>
      <c r="H75" s="19">
        <v>120</v>
      </c>
      <c r="K75" t="s">
        <v>1499</v>
      </c>
      <c r="L75" s="166" t="s">
        <v>1500</v>
      </c>
    </row>
    <row r="76" spans="2:13" x14ac:dyDescent="0.3">
      <c r="C76" t="s">
        <v>1501</v>
      </c>
      <c r="D76" s="11">
        <v>0.8</v>
      </c>
      <c r="E76" s="19">
        <v>0</v>
      </c>
      <c r="F76" s="256">
        <f>25/60</f>
        <v>0.41666666666666669</v>
      </c>
      <c r="G76" s="19">
        <v>0.45</v>
      </c>
      <c r="H76" s="19">
        <v>120</v>
      </c>
      <c r="L76" s="166" t="s">
        <v>1502</v>
      </c>
    </row>
    <row r="77" spans="2:13" x14ac:dyDescent="0.3">
      <c r="L77" s="166" t="s">
        <v>1503</v>
      </c>
    </row>
    <row r="78" spans="2:13" x14ac:dyDescent="0.3">
      <c r="C78" t="s">
        <v>1504</v>
      </c>
      <c r="D78" s="13">
        <f>F75*1/D75*E75+L79*G75/H75</f>
        <v>0.16875000000000001</v>
      </c>
      <c r="I78" s="13"/>
      <c r="L78" t="s">
        <v>1505</v>
      </c>
    </row>
    <row r="79" spans="2:13" x14ac:dyDescent="0.3">
      <c r="D79" s="12">
        <f>F75*1/D75*E75+L80*G75/H75</f>
        <v>9.5962499999999992E-2</v>
      </c>
      <c r="I79" s="12"/>
      <c r="L79">
        <v>45</v>
      </c>
      <c r="M79" t="s">
        <v>1506</v>
      </c>
    </row>
    <row r="80" spans="2:13" x14ac:dyDescent="0.3">
      <c r="D80" s="12"/>
      <c r="I80" s="12"/>
      <c r="L80">
        <v>25.59</v>
      </c>
      <c r="M80" t="s">
        <v>1507</v>
      </c>
    </row>
    <row r="86" spans="2:12" x14ac:dyDescent="0.3">
      <c r="D86" t="s">
        <v>1495</v>
      </c>
      <c r="E86" t="s">
        <v>1473</v>
      </c>
      <c r="F86" t="s">
        <v>1496</v>
      </c>
      <c r="G86" t="s">
        <v>1480</v>
      </c>
      <c r="H86" t="s">
        <v>1481</v>
      </c>
    </row>
    <row r="87" spans="2:12" x14ac:dyDescent="0.3">
      <c r="B87" s="252" t="s">
        <v>1508</v>
      </c>
      <c r="C87" t="s">
        <v>1509</v>
      </c>
      <c r="D87" s="11">
        <v>3</v>
      </c>
      <c r="E87" s="19">
        <v>0.18990000000000001</v>
      </c>
      <c r="F87" s="256">
        <f>3/60</f>
        <v>0.05</v>
      </c>
      <c r="G87" s="19">
        <v>0.35</v>
      </c>
      <c r="H87" s="19">
        <v>80</v>
      </c>
      <c r="K87" t="s">
        <v>1499</v>
      </c>
      <c r="L87" s="166" t="s">
        <v>1510</v>
      </c>
    </row>
    <row r="88" spans="2:12" x14ac:dyDescent="0.3">
      <c r="C88" t="s">
        <v>1511</v>
      </c>
      <c r="D88" s="11">
        <v>5.5</v>
      </c>
      <c r="E88" s="19">
        <v>0.18990000000000001</v>
      </c>
      <c r="F88" s="256">
        <f>3/60</f>
        <v>0.05</v>
      </c>
      <c r="G88" s="19">
        <v>0.35</v>
      </c>
      <c r="H88" s="19">
        <v>80</v>
      </c>
      <c r="L88" s="166" t="s">
        <v>1512</v>
      </c>
    </row>
    <row r="89" spans="2:12" x14ac:dyDescent="0.3">
      <c r="L89" s="166" t="s">
        <v>1502</v>
      </c>
    </row>
    <row r="90" spans="2:12" x14ac:dyDescent="0.3">
      <c r="C90" t="s">
        <v>1513</v>
      </c>
      <c r="D90" s="12">
        <f>F87/D87*E87+K91*G87/H87</f>
        <v>5.2383749999999993E-2</v>
      </c>
      <c r="F90" t="s">
        <v>1514</v>
      </c>
      <c r="H90" s="12">
        <f>F88/D88*E88+K91*G88/H88</f>
        <v>5.0945113636363629E-2</v>
      </c>
      <c r="K90" t="s">
        <v>1505</v>
      </c>
    </row>
    <row r="91" spans="2:12" x14ac:dyDescent="0.3">
      <c r="K91">
        <v>11.25</v>
      </c>
    </row>
    <row r="94" spans="2:12" x14ac:dyDescent="0.3">
      <c r="D94" t="s">
        <v>1472</v>
      </c>
      <c r="E94" t="s">
        <v>1473</v>
      </c>
      <c r="F94" t="s">
        <v>1479</v>
      </c>
      <c r="G94" t="s">
        <v>1480</v>
      </c>
      <c r="H94" t="s">
        <v>1481</v>
      </c>
      <c r="K94" t="s">
        <v>1499</v>
      </c>
      <c r="L94" s="166" t="s">
        <v>1515</v>
      </c>
    </row>
    <row r="95" spans="2:12" x14ac:dyDescent="0.3">
      <c r="B95" s="253" t="s">
        <v>1516</v>
      </c>
      <c r="C95" t="s">
        <v>1476</v>
      </c>
      <c r="D95" s="14">
        <v>0.66</v>
      </c>
      <c r="E95" s="19">
        <v>0.18990000000000001</v>
      </c>
      <c r="F95" s="249" t="s">
        <v>1517</v>
      </c>
      <c r="G95" s="19">
        <v>0.55000000000000004</v>
      </c>
      <c r="H95" s="19">
        <v>168</v>
      </c>
      <c r="L95" s="166" t="s">
        <v>1518</v>
      </c>
    </row>
    <row r="98" spans="2:12" x14ac:dyDescent="0.3">
      <c r="D98" t="s">
        <v>1472</v>
      </c>
      <c r="E98" t="s">
        <v>1473</v>
      </c>
      <c r="F98" t="s">
        <v>1479</v>
      </c>
      <c r="G98" t="s">
        <v>1480</v>
      </c>
      <c r="H98" t="s">
        <v>1481</v>
      </c>
      <c r="K98" t="s">
        <v>1499</v>
      </c>
      <c r="L98" s="166" t="s">
        <v>1519</v>
      </c>
    </row>
    <row r="99" spans="2:12" x14ac:dyDescent="0.3">
      <c r="B99" s="253" t="s">
        <v>1520</v>
      </c>
      <c r="C99" t="s">
        <v>1476</v>
      </c>
      <c r="D99" s="14">
        <v>0.62</v>
      </c>
      <c r="E99" s="19">
        <v>0.18990000000000001</v>
      </c>
      <c r="F99" s="249" t="s">
        <v>1521</v>
      </c>
      <c r="G99" s="19">
        <v>0.65</v>
      </c>
      <c r="H99" s="19">
        <v>168</v>
      </c>
      <c r="L99" s="166" t="s">
        <v>1522</v>
      </c>
    </row>
    <row r="100" spans="2:12" x14ac:dyDescent="0.3">
      <c r="L100" s="166" t="s">
        <v>1523</v>
      </c>
    </row>
    <row r="101" spans="2:12" x14ac:dyDescent="0.3">
      <c r="L101" s="166" t="s">
        <v>1524</v>
      </c>
    </row>
    <row r="105" spans="2:12" x14ac:dyDescent="0.3">
      <c r="D105" t="s">
        <v>1495</v>
      </c>
      <c r="E105" t="s">
        <v>1473</v>
      </c>
      <c r="F105" t="s">
        <v>1479</v>
      </c>
      <c r="G105" t="s">
        <v>1480</v>
      </c>
      <c r="H105" t="s">
        <v>1481</v>
      </c>
      <c r="K105" t="s">
        <v>1499</v>
      </c>
      <c r="L105" s="166" t="s">
        <v>1525</v>
      </c>
    </row>
    <row r="106" spans="2:12" x14ac:dyDescent="0.3">
      <c r="B106" s="253" t="s">
        <v>1526</v>
      </c>
      <c r="C106" t="s">
        <v>1527</v>
      </c>
      <c r="D106" s="11">
        <v>3.3</v>
      </c>
      <c r="E106" s="19">
        <v>0.18990000000000001</v>
      </c>
      <c r="F106" s="249" t="s">
        <v>1528</v>
      </c>
      <c r="G106" s="19">
        <v>0.25</v>
      </c>
      <c r="H106" s="19">
        <v>35</v>
      </c>
      <c r="L106" s="166" t="s">
        <v>1529</v>
      </c>
    </row>
    <row r="107" spans="2:12" x14ac:dyDescent="0.3">
      <c r="C107" t="s">
        <v>1530</v>
      </c>
      <c r="D107" s="11">
        <v>4.5</v>
      </c>
      <c r="E107" s="19">
        <v>0.18990000000000001</v>
      </c>
      <c r="F107" s="249" t="s">
        <v>1528</v>
      </c>
      <c r="G107" s="19">
        <v>0.25</v>
      </c>
      <c r="H107" s="19">
        <v>35</v>
      </c>
      <c r="L107" s="166" t="s">
        <v>1531</v>
      </c>
    </row>
    <row r="108" spans="2:12" x14ac:dyDescent="0.3">
      <c r="C108" t="s">
        <v>1532</v>
      </c>
      <c r="D108" s="11">
        <v>4.5</v>
      </c>
      <c r="E108" s="19">
        <v>0.18990000000000001</v>
      </c>
      <c r="F108" s="249" t="s">
        <v>1528</v>
      </c>
      <c r="G108" s="19">
        <v>0.25</v>
      </c>
      <c r="H108" s="19">
        <v>35</v>
      </c>
      <c r="L108" s="166" t="s">
        <v>1533</v>
      </c>
    </row>
    <row r="109" spans="2:12" x14ac:dyDescent="0.3">
      <c r="L109" s="166" t="s">
        <v>1534</v>
      </c>
    </row>
    <row r="112" spans="2:12" x14ac:dyDescent="0.3">
      <c r="D112" t="s">
        <v>1472</v>
      </c>
      <c r="E112" t="s">
        <v>1473</v>
      </c>
      <c r="F112" t="s">
        <v>1479</v>
      </c>
      <c r="G112" t="s">
        <v>1480</v>
      </c>
      <c r="H112" t="s">
        <v>1481</v>
      </c>
      <c r="K112" t="s">
        <v>1499</v>
      </c>
      <c r="L112" s="166" t="s">
        <v>1535</v>
      </c>
    </row>
    <row r="113" spans="2:12" x14ac:dyDescent="0.3">
      <c r="B113" s="253" t="s">
        <v>1536</v>
      </c>
      <c r="D113" s="14">
        <v>0.55000000000000004</v>
      </c>
      <c r="E113" s="19">
        <v>6.7400000000000002E-2</v>
      </c>
      <c r="F113" s="249" t="s">
        <v>1489</v>
      </c>
      <c r="G113" s="19">
        <v>0.4</v>
      </c>
      <c r="H113" s="19">
        <v>80</v>
      </c>
      <c r="L113" s="166" t="s">
        <v>1537</v>
      </c>
    </row>
    <row r="114" spans="2:12" x14ac:dyDescent="0.3">
      <c r="B114" s="253" t="s">
        <v>1538</v>
      </c>
      <c r="D114" s="14">
        <v>0.45</v>
      </c>
      <c r="E114" s="19">
        <v>0</v>
      </c>
      <c r="F114" t="s">
        <v>1521</v>
      </c>
      <c r="G114" s="19">
        <v>0.35</v>
      </c>
      <c r="H114" s="19">
        <v>80</v>
      </c>
    </row>
  </sheetData>
  <mergeCells count="18">
    <mergeCell ref="B52:B55"/>
    <mergeCell ref="E53:E55"/>
    <mergeCell ref="G53:G55"/>
    <mergeCell ref="H53:H55"/>
    <mergeCell ref="G40:G42"/>
    <mergeCell ref="H40:H42"/>
    <mergeCell ref="B44:B47"/>
    <mergeCell ref="D45:D47"/>
    <mergeCell ref="E45:E47"/>
    <mergeCell ref="F45:F47"/>
    <mergeCell ref="G45:G47"/>
    <mergeCell ref="H45:H47"/>
    <mergeCell ref="F40:F42"/>
    <mergeCell ref="B34:B37"/>
    <mergeCell ref="E35:E37"/>
    <mergeCell ref="B39:B42"/>
    <mergeCell ref="D40:D42"/>
    <mergeCell ref="E40:E42"/>
  </mergeCells>
  <hyperlinks>
    <hyperlink ref="B3" r:id="rId1" xr:uid="{F6225CE4-EFA8-4173-9F07-98AE22165782}"/>
    <hyperlink ref="M40" r:id="rId2" xr:uid="{F0266CC7-209D-4615-8009-E2A6BA060000}"/>
    <hyperlink ref="M41" r:id="rId3" xr:uid="{7E88648F-6618-4692-B30B-00DCDA9A6BC4}"/>
    <hyperlink ref="M45" r:id="rId4" xr:uid="{AAAF10FC-5F29-4734-BF9F-00040F80DC30}"/>
    <hyperlink ref="M46" r:id="rId5" xr:uid="{EEE8E4DD-8863-4D7B-8C6F-433A563CDF6A}"/>
    <hyperlink ref="M49" r:id="rId6" xr:uid="{8F308D3F-79A9-4412-8FD2-ADCBE898F942}"/>
    <hyperlink ref="M50" r:id="rId7" xr:uid="{C46F8F92-D81A-4DD5-BF87-E83C4BD83647}"/>
    <hyperlink ref="L75" r:id="rId8" xr:uid="{E0848AD6-943F-4362-8D06-22204A2D4297}"/>
    <hyperlink ref="L76" r:id="rId9" xr:uid="{50923D64-1A50-41FE-81EC-3341342831AE}"/>
    <hyperlink ref="L77" r:id="rId10" xr:uid="{8E62BBEA-B1F0-4930-8DBD-B27CDB717A96}"/>
    <hyperlink ref="L87" r:id="rId11" xr:uid="{E8F87A85-6A6A-4EE9-95EA-FF5937D17285}"/>
    <hyperlink ref="L88" r:id="rId12" xr:uid="{E7741A29-24A8-44E9-B0DA-405B0DE6D56E}"/>
    <hyperlink ref="L89" r:id="rId13" xr:uid="{62174B83-0845-4BB1-B3F8-DC10464BA7C2}"/>
    <hyperlink ref="L94" r:id="rId14" xr:uid="{23430913-57C3-443C-ADAD-06E928F460E7}"/>
    <hyperlink ref="L95" r:id="rId15" xr:uid="{2C7DFE1A-8555-4EC2-AD05-D40A2BF6D6C9}"/>
    <hyperlink ref="L98" r:id="rId16" xr:uid="{1B21002F-50A0-4319-9A5B-037E0A52072E}"/>
    <hyperlink ref="L99" r:id="rId17" xr:uid="{8BBBD208-87EE-45BB-A1A2-97EAAADE4073}"/>
    <hyperlink ref="L100" r:id="rId18" xr:uid="{B23EB035-8E02-44B6-AE60-09D597190BC8}"/>
    <hyperlink ref="L101" r:id="rId19" xr:uid="{99259EA2-8FF6-4D8A-A762-2F1B02F7C648}"/>
    <hyperlink ref="L105" r:id="rId20" xr:uid="{E922E317-E8A9-45CE-AAC5-73365BBB84D7}"/>
    <hyperlink ref="L106" r:id="rId21" xr:uid="{1FF6675B-9272-4DB9-98AE-24883100B959}"/>
    <hyperlink ref="L107" r:id="rId22" xr:uid="{50551DE5-E6B5-4F39-A0A8-4F9FEB43615C}"/>
    <hyperlink ref="L108" r:id="rId23" xr:uid="{54F9222F-2C2D-45B7-BE1A-E8582D38A307}"/>
    <hyperlink ref="L109" r:id="rId24" xr:uid="{2E515C13-5FA2-42BA-BF2D-84AE6002665F}"/>
    <hyperlink ref="L112" r:id="rId25" xr:uid="{643213E2-87E5-442A-8E25-4A2624167051}"/>
    <hyperlink ref="L113" r:id="rId26" xr:uid="{08ADF5CD-2B3B-464D-A866-030FD0CCD200}"/>
  </hyperlinks>
  <pageMargins left="0.7" right="0.7" top="0.75" bottom="0.75" header="0.3" footer="0.3"/>
  <drawing r:id="rId27"/>
  <legacy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C76C-9A41-4480-9F8B-C1BAF6226903}">
  <dimension ref="A2:C215"/>
  <sheetViews>
    <sheetView workbookViewId="0">
      <selection activeCell="C53" sqref="C53"/>
    </sheetView>
  </sheetViews>
  <sheetFormatPr defaultRowHeight="14.4" x14ac:dyDescent="0.3"/>
  <cols>
    <col min="2" max="2" width="109" customWidth="1"/>
    <col min="3" max="3" width="8.88671875" customWidth="1"/>
  </cols>
  <sheetData>
    <row r="2" spans="1:3" x14ac:dyDescent="0.3">
      <c r="B2" s="1" t="s">
        <v>541</v>
      </c>
      <c r="C2" s="1" t="s">
        <v>542</v>
      </c>
    </row>
    <row r="3" spans="1:3" x14ac:dyDescent="0.3">
      <c r="A3" t="s">
        <v>543</v>
      </c>
      <c r="B3" t="s">
        <v>544</v>
      </c>
      <c r="C3" s="166" t="s">
        <v>545</v>
      </c>
    </row>
    <row r="4" spans="1:3" x14ac:dyDescent="0.3">
      <c r="A4" t="s">
        <v>546</v>
      </c>
      <c r="B4" t="s">
        <v>547</v>
      </c>
      <c r="C4" s="166" t="s">
        <v>548</v>
      </c>
    </row>
    <row r="5" spans="1:3" x14ac:dyDescent="0.3">
      <c r="A5" t="s">
        <v>404</v>
      </c>
      <c r="B5" t="s">
        <v>549</v>
      </c>
      <c r="C5" s="166" t="s">
        <v>550</v>
      </c>
    </row>
    <row r="6" spans="1:3" x14ac:dyDescent="0.3">
      <c r="A6" s="167" t="s">
        <v>551</v>
      </c>
      <c r="B6" t="s">
        <v>552</v>
      </c>
      <c r="C6" s="166" t="s">
        <v>553</v>
      </c>
    </row>
    <row r="7" spans="1:3" x14ac:dyDescent="0.3">
      <c r="A7" t="s">
        <v>555</v>
      </c>
      <c r="B7" t="s">
        <v>556</v>
      </c>
      <c r="C7" s="166" t="s">
        <v>557</v>
      </c>
    </row>
    <row r="8" spans="1:3" x14ac:dyDescent="0.3">
      <c r="A8" t="s">
        <v>363</v>
      </c>
      <c r="B8" t="s">
        <v>558</v>
      </c>
      <c r="C8" s="166" t="s">
        <v>559</v>
      </c>
    </row>
    <row r="9" spans="1:3" x14ac:dyDescent="0.3">
      <c r="A9" t="s">
        <v>560</v>
      </c>
      <c r="B9" t="s">
        <v>561</v>
      </c>
      <c r="C9" s="166" t="s">
        <v>562</v>
      </c>
    </row>
    <row r="10" spans="1:3" x14ac:dyDescent="0.3">
      <c r="A10" t="s">
        <v>564</v>
      </c>
      <c r="B10" t="s">
        <v>565</v>
      </c>
      <c r="C10" s="166" t="s">
        <v>566</v>
      </c>
    </row>
    <row r="11" spans="1:3" x14ac:dyDescent="0.3">
      <c r="A11" t="s">
        <v>567</v>
      </c>
      <c r="B11" t="s">
        <v>568</v>
      </c>
      <c r="C11" s="166" t="s">
        <v>569</v>
      </c>
    </row>
    <row r="12" spans="1:3" x14ac:dyDescent="0.3">
      <c r="A12" t="s">
        <v>570</v>
      </c>
      <c r="B12" s="5" t="s">
        <v>571</v>
      </c>
      <c r="C12" s="166" t="s">
        <v>572</v>
      </c>
    </row>
    <row r="13" spans="1:3" ht="14.4" customHeight="1" x14ac:dyDescent="0.3">
      <c r="A13" t="s">
        <v>573</v>
      </c>
      <c r="B13" s="5" t="s">
        <v>574</v>
      </c>
      <c r="C13" s="166" t="s">
        <v>575</v>
      </c>
    </row>
    <row r="14" spans="1:3" x14ac:dyDescent="0.3">
      <c r="A14" t="s">
        <v>25</v>
      </c>
      <c r="B14" t="s">
        <v>577</v>
      </c>
      <c r="C14" s="166" t="s">
        <v>578</v>
      </c>
    </row>
    <row r="15" spans="1:3" x14ac:dyDescent="0.3">
      <c r="A15" t="s">
        <v>393</v>
      </c>
      <c r="B15" t="s">
        <v>580</v>
      </c>
      <c r="C15" s="166" t="s">
        <v>581</v>
      </c>
    </row>
    <row r="16" spans="1:3" x14ac:dyDescent="0.3">
      <c r="A16" t="s">
        <v>582</v>
      </c>
      <c r="B16" t="s">
        <v>583</v>
      </c>
      <c r="C16" s="166" t="s">
        <v>584</v>
      </c>
    </row>
    <row r="17" spans="1:3" x14ac:dyDescent="0.3">
      <c r="A17" t="s">
        <v>397</v>
      </c>
      <c r="B17" t="s">
        <v>585</v>
      </c>
      <c r="C17" s="166" t="s">
        <v>586</v>
      </c>
    </row>
    <row r="18" spans="1:3" x14ac:dyDescent="0.3">
      <c r="A18" t="s">
        <v>537</v>
      </c>
      <c r="B18" t="s">
        <v>587</v>
      </c>
      <c r="C18" s="166" t="s">
        <v>588</v>
      </c>
    </row>
    <row r="19" spans="1:3" x14ac:dyDescent="0.3">
      <c r="A19" t="s">
        <v>589</v>
      </c>
      <c r="B19" t="s">
        <v>590</v>
      </c>
      <c r="C19" s="166" t="s">
        <v>591</v>
      </c>
    </row>
    <row r="20" spans="1:3" x14ac:dyDescent="0.3">
      <c r="A20" t="s">
        <v>592</v>
      </c>
      <c r="B20" t="s">
        <v>593</v>
      </c>
      <c r="C20" s="166" t="s">
        <v>594</v>
      </c>
    </row>
    <row r="21" spans="1:3" x14ac:dyDescent="0.3">
      <c r="A21" t="s">
        <v>306</v>
      </c>
      <c r="B21" t="s">
        <v>595</v>
      </c>
      <c r="C21" s="166" t="s">
        <v>596</v>
      </c>
    </row>
    <row r="22" spans="1:3" x14ac:dyDescent="0.3">
      <c r="A22" t="s">
        <v>597</v>
      </c>
      <c r="B22" t="s">
        <v>598</v>
      </c>
      <c r="C22" s="166" t="s">
        <v>599</v>
      </c>
    </row>
    <row r="23" spans="1:3" x14ac:dyDescent="0.3">
      <c r="A23" t="s">
        <v>600</v>
      </c>
      <c r="B23" t="s">
        <v>601</v>
      </c>
      <c r="C23" s="166" t="s">
        <v>602</v>
      </c>
    </row>
    <row r="24" spans="1:3" x14ac:dyDescent="0.3">
      <c r="A24" t="s">
        <v>603</v>
      </c>
      <c r="B24" t="s">
        <v>604</v>
      </c>
      <c r="C24" s="166" t="s">
        <v>605</v>
      </c>
    </row>
    <row r="25" spans="1:3" x14ac:dyDescent="0.3">
      <c r="A25" t="s">
        <v>606</v>
      </c>
      <c r="B25" t="s">
        <v>607</v>
      </c>
      <c r="C25" s="166" t="s">
        <v>608</v>
      </c>
    </row>
    <row r="26" spans="1:3" x14ac:dyDescent="0.3">
      <c r="A26" t="s">
        <v>609</v>
      </c>
      <c r="B26" t="s">
        <v>610</v>
      </c>
      <c r="C26" s="166" t="s">
        <v>611</v>
      </c>
    </row>
    <row r="27" spans="1:3" x14ac:dyDescent="0.3">
      <c r="A27" t="s">
        <v>385</v>
      </c>
      <c r="B27" t="s">
        <v>612</v>
      </c>
      <c r="C27" s="166" t="s">
        <v>613</v>
      </c>
    </row>
    <row r="28" spans="1:3" x14ac:dyDescent="0.3">
      <c r="A28" t="s">
        <v>614</v>
      </c>
      <c r="B28" t="s">
        <v>615</v>
      </c>
      <c r="C28" s="166" t="s">
        <v>616</v>
      </c>
    </row>
    <row r="29" spans="1:3" x14ac:dyDescent="0.3">
      <c r="A29" t="s">
        <v>617</v>
      </c>
      <c r="B29" t="s">
        <v>618</v>
      </c>
      <c r="C29" s="166" t="s">
        <v>619</v>
      </c>
    </row>
    <row r="30" spans="1:3" x14ac:dyDescent="0.3">
      <c r="A30" t="s">
        <v>620</v>
      </c>
      <c r="B30" t="s">
        <v>621</v>
      </c>
      <c r="C30" s="166" t="s">
        <v>622</v>
      </c>
    </row>
    <row r="31" spans="1:3" x14ac:dyDescent="0.3">
      <c r="A31" t="s">
        <v>623</v>
      </c>
      <c r="B31" t="s">
        <v>624</v>
      </c>
      <c r="C31" s="166" t="s">
        <v>625</v>
      </c>
    </row>
    <row r="32" spans="1:3" x14ac:dyDescent="0.3">
      <c r="A32" t="s">
        <v>379</v>
      </c>
      <c r="B32" t="s">
        <v>626</v>
      </c>
      <c r="C32" s="166" t="s">
        <v>627</v>
      </c>
    </row>
    <row r="33" spans="1:3" x14ac:dyDescent="0.3">
      <c r="A33" t="s">
        <v>308</v>
      </c>
      <c r="B33" t="s">
        <v>628</v>
      </c>
      <c r="C33" s="166" t="s">
        <v>629</v>
      </c>
    </row>
    <row r="34" spans="1:3" x14ac:dyDescent="0.3">
      <c r="A34" t="s">
        <v>630</v>
      </c>
      <c r="B34" t="s">
        <v>631</v>
      </c>
      <c r="C34" s="166" t="s">
        <v>632</v>
      </c>
    </row>
    <row r="35" spans="1:3" x14ac:dyDescent="0.3">
      <c r="A35" t="s">
        <v>633</v>
      </c>
      <c r="B35" t="s">
        <v>634</v>
      </c>
      <c r="C35" s="166" t="s">
        <v>635</v>
      </c>
    </row>
    <row r="36" spans="1:3" x14ac:dyDescent="0.3">
      <c r="A36" t="s">
        <v>346</v>
      </c>
      <c r="B36" t="s">
        <v>636</v>
      </c>
      <c r="C36" s="166" t="s">
        <v>637</v>
      </c>
    </row>
    <row r="37" spans="1:3" x14ac:dyDescent="0.3">
      <c r="A37" t="s">
        <v>365</v>
      </c>
      <c r="B37" t="s">
        <v>638</v>
      </c>
      <c r="C37" s="166" t="s">
        <v>639</v>
      </c>
    </row>
    <row r="38" spans="1:3" x14ac:dyDescent="0.3">
      <c r="A38" t="s">
        <v>640</v>
      </c>
      <c r="B38" t="s">
        <v>641</v>
      </c>
      <c r="C38" s="166" t="s">
        <v>642</v>
      </c>
    </row>
    <row r="39" spans="1:3" x14ac:dyDescent="0.3">
      <c r="A39" t="s">
        <v>643</v>
      </c>
      <c r="B39" t="s">
        <v>644</v>
      </c>
      <c r="C39" s="166" t="s">
        <v>645</v>
      </c>
    </row>
    <row r="40" spans="1:3" x14ac:dyDescent="0.3">
      <c r="A40" t="s">
        <v>405</v>
      </c>
      <c r="B40" t="s">
        <v>646</v>
      </c>
      <c r="C40" s="166" t="s">
        <v>647</v>
      </c>
    </row>
    <row r="41" spans="1:3" x14ac:dyDescent="0.3">
      <c r="A41" t="s">
        <v>648</v>
      </c>
      <c r="B41" t="s">
        <v>649</v>
      </c>
      <c r="C41" s="166" t="s">
        <v>650</v>
      </c>
    </row>
    <row r="42" spans="1:3" x14ac:dyDescent="0.3">
      <c r="A42" t="s">
        <v>412</v>
      </c>
      <c r="B42" t="s">
        <v>651</v>
      </c>
      <c r="C42" s="166" t="s">
        <v>652</v>
      </c>
    </row>
    <row r="43" spans="1:3" x14ac:dyDescent="0.3">
      <c r="A43" t="s">
        <v>653</v>
      </c>
      <c r="B43" t="s">
        <v>654</v>
      </c>
      <c r="C43" s="166" t="s">
        <v>655</v>
      </c>
    </row>
    <row r="44" spans="1:3" x14ac:dyDescent="0.3">
      <c r="A44" t="s">
        <v>656</v>
      </c>
      <c r="B44" t="s">
        <v>657</v>
      </c>
      <c r="C44" s="166" t="s">
        <v>658</v>
      </c>
    </row>
    <row r="45" spans="1:3" x14ac:dyDescent="0.3">
      <c r="A45" t="s">
        <v>659</v>
      </c>
      <c r="B45" t="s">
        <v>660</v>
      </c>
      <c r="C45" s="166" t="s">
        <v>661</v>
      </c>
    </row>
    <row r="46" spans="1:3" x14ac:dyDescent="0.3">
      <c r="A46" t="s">
        <v>662</v>
      </c>
      <c r="B46" t="s">
        <v>663</v>
      </c>
      <c r="C46" s="166" t="s">
        <v>664</v>
      </c>
    </row>
    <row r="47" spans="1:3" x14ac:dyDescent="0.3">
      <c r="A47" t="s">
        <v>665</v>
      </c>
      <c r="B47" t="s">
        <v>666</v>
      </c>
      <c r="C47" s="166" t="s">
        <v>667</v>
      </c>
    </row>
    <row r="48" spans="1:3" x14ac:dyDescent="0.3">
      <c r="A48" t="s">
        <v>268</v>
      </c>
      <c r="B48" t="s">
        <v>668</v>
      </c>
      <c r="C48" s="166" t="s">
        <v>669</v>
      </c>
    </row>
    <row r="49" spans="1:3" x14ac:dyDescent="0.3">
      <c r="A49" t="s">
        <v>670</v>
      </c>
      <c r="B49" t="s">
        <v>671</v>
      </c>
      <c r="C49" s="166" t="s">
        <v>672</v>
      </c>
    </row>
    <row r="50" spans="1:3" x14ac:dyDescent="0.3">
      <c r="A50" t="s">
        <v>303</v>
      </c>
      <c r="B50" t="s">
        <v>673</v>
      </c>
      <c r="C50" s="166" t="s">
        <v>674</v>
      </c>
    </row>
    <row r="51" spans="1:3" x14ac:dyDescent="0.3">
      <c r="A51" t="s">
        <v>675</v>
      </c>
      <c r="B51" t="s">
        <v>676</v>
      </c>
      <c r="C51" s="166" t="s">
        <v>677</v>
      </c>
    </row>
    <row r="52" spans="1:3" x14ac:dyDescent="0.3">
      <c r="A52" t="s">
        <v>678</v>
      </c>
      <c r="B52" t="s">
        <v>679</v>
      </c>
      <c r="C52" s="166" t="s">
        <v>680</v>
      </c>
    </row>
    <row r="53" spans="1:3" x14ac:dyDescent="0.3">
      <c r="A53" t="s">
        <v>681</v>
      </c>
      <c r="B53" t="s">
        <v>682</v>
      </c>
      <c r="C53" s="166" t="s">
        <v>683</v>
      </c>
    </row>
    <row r="54" spans="1:3" x14ac:dyDescent="0.3">
      <c r="A54" t="s">
        <v>684</v>
      </c>
      <c r="B54" t="s">
        <v>685</v>
      </c>
      <c r="C54" s="166" t="s">
        <v>686</v>
      </c>
    </row>
    <row r="55" spans="1:3" x14ac:dyDescent="0.3">
      <c r="A55" t="s">
        <v>153</v>
      </c>
      <c r="B55" s="168" t="s">
        <v>687</v>
      </c>
      <c r="C55" s="166" t="s">
        <v>688</v>
      </c>
    </row>
    <row r="56" spans="1:3" x14ac:dyDescent="0.3">
      <c r="A56" t="s">
        <v>689</v>
      </c>
      <c r="B56" t="s">
        <v>690</v>
      </c>
      <c r="C56" s="166" t="s">
        <v>691</v>
      </c>
    </row>
    <row r="57" spans="1:3" x14ac:dyDescent="0.3">
      <c r="A57" t="s">
        <v>692</v>
      </c>
      <c r="B57" t="s">
        <v>693</v>
      </c>
      <c r="C57" s="166" t="s">
        <v>694</v>
      </c>
    </row>
    <row r="58" spans="1:3" x14ac:dyDescent="0.3">
      <c r="A58" t="s">
        <v>695</v>
      </c>
      <c r="B58" t="s">
        <v>696</v>
      </c>
      <c r="C58" s="166" t="s">
        <v>697</v>
      </c>
    </row>
    <row r="59" spans="1:3" x14ac:dyDescent="0.3">
      <c r="A59" t="s">
        <v>698</v>
      </c>
      <c r="B59" t="s">
        <v>699</v>
      </c>
      <c r="C59" s="166" t="s">
        <v>700</v>
      </c>
    </row>
    <row r="60" spans="1:3" x14ac:dyDescent="0.3">
      <c r="A60" t="s">
        <v>701</v>
      </c>
      <c r="B60" t="s">
        <v>702</v>
      </c>
      <c r="C60" s="166" t="s">
        <v>703</v>
      </c>
    </row>
    <row r="61" spans="1:3" x14ac:dyDescent="0.3">
      <c r="A61" t="s">
        <v>378</v>
      </c>
      <c r="B61" t="s">
        <v>704</v>
      </c>
      <c r="C61" s="166" t="s">
        <v>705</v>
      </c>
    </row>
    <row r="62" spans="1:3" x14ac:dyDescent="0.3">
      <c r="A62" t="s">
        <v>706</v>
      </c>
      <c r="B62" t="s">
        <v>707</v>
      </c>
      <c r="C62" s="166" t="s">
        <v>708</v>
      </c>
    </row>
    <row r="63" spans="1:3" x14ac:dyDescent="0.3">
      <c r="A63" t="s">
        <v>709</v>
      </c>
      <c r="B63" t="s">
        <v>710</v>
      </c>
      <c r="C63" s="166" t="s">
        <v>711</v>
      </c>
    </row>
    <row r="64" spans="1:3" x14ac:dyDescent="0.3">
      <c r="A64" t="s">
        <v>712</v>
      </c>
      <c r="B64" t="s">
        <v>713</v>
      </c>
      <c r="C64" s="166" t="s">
        <v>714</v>
      </c>
    </row>
    <row r="65" spans="1:3" x14ac:dyDescent="0.3">
      <c r="A65" t="s">
        <v>715</v>
      </c>
      <c r="B65" t="s">
        <v>716</v>
      </c>
      <c r="C65" s="166" t="s">
        <v>717</v>
      </c>
    </row>
    <row r="66" spans="1:3" x14ac:dyDescent="0.3">
      <c r="A66" t="s">
        <v>718</v>
      </c>
      <c r="B66" t="s">
        <v>719</v>
      </c>
      <c r="C66" s="166" t="s">
        <v>720</v>
      </c>
    </row>
    <row r="67" spans="1:3" x14ac:dyDescent="0.3">
      <c r="A67" t="s">
        <v>721</v>
      </c>
      <c r="B67" s="5" t="s">
        <v>722</v>
      </c>
      <c r="C67" s="166" t="s">
        <v>723</v>
      </c>
    </row>
    <row r="68" spans="1:3" x14ac:dyDescent="0.3">
      <c r="A68" t="s">
        <v>724</v>
      </c>
      <c r="B68" t="s">
        <v>725</v>
      </c>
      <c r="C68" s="166" t="s">
        <v>726</v>
      </c>
    </row>
    <row r="69" spans="1:3" x14ac:dyDescent="0.3">
      <c r="A69" t="s">
        <v>727</v>
      </c>
      <c r="B69" t="s">
        <v>728</v>
      </c>
      <c r="C69" s="166" t="s">
        <v>729</v>
      </c>
    </row>
    <row r="70" spans="1:3" x14ac:dyDescent="0.3">
      <c r="A70" t="s">
        <v>730</v>
      </c>
      <c r="B70" t="s">
        <v>731</v>
      </c>
      <c r="C70" s="166" t="s">
        <v>732</v>
      </c>
    </row>
    <row r="71" spans="1:3" x14ac:dyDescent="0.3">
      <c r="A71" t="s">
        <v>733</v>
      </c>
      <c r="B71" t="s">
        <v>734</v>
      </c>
      <c r="C71" s="166" t="s">
        <v>735</v>
      </c>
    </row>
    <row r="72" spans="1:3" x14ac:dyDescent="0.3">
      <c r="A72" t="s">
        <v>736</v>
      </c>
      <c r="B72" t="s">
        <v>737</v>
      </c>
      <c r="C72" s="166" t="s">
        <v>738</v>
      </c>
    </row>
    <row r="73" spans="1:3" x14ac:dyDescent="0.3">
      <c r="A73" t="s">
        <v>739</v>
      </c>
      <c r="B73" t="s">
        <v>740</v>
      </c>
      <c r="C73" s="166" t="s">
        <v>741</v>
      </c>
    </row>
    <row r="74" spans="1:3" x14ac:dyDescent="0.3">
      <c r="A74" t="s">
        <v>742</v>
      </c>
      <c r="B74" t="s">
        <v>743</v>
      </c>
      <c r="C74" s="166" t="s">
        <v>744</v>
      </c>
    </row>
    <row r="75" spans="1:3" x14ac:dyDescent="0.3">
      <c r="A75" t="s">
        <v>745</v>
      </c>
      <c r="B75" t="s">
        <v>746</v>
      </c>
      <c r="C75" s="166" t="s">
        <v>747</v>
      </c>
    </row>
    <row r="76" spans="1:3" x14ac:dyDescent="0.3">
      <c r="A76" t="s">
        <v>748</v>
      </c>
      <c r="B76" t="s">
        <v>749</v>
      </c>
      <c r="C76" s="166" t="s">
        <v>750</v>
      </c>
    </row>
    <row r="77" spans="1:3" x14ac:dyDescent="0.3">
      <c r="A77" t="s">
        <v>751</v>
      </c>
      <c r="B77" t="s">
        <v>752</v>
      </c>
      <c r="C77" s="166" t="s">
        <v>753</v>
      </c>
    </row>
    <row r="78" spans="1:3" x14ac:dyDescent="0.3">
      <c r="A78" t="s">
        <v>754</v>
      </c>
      <c r="B78" s="5" t="s">
        <v>755</v>
      </c>
      <c r="C78" s="166" t="s">
        <v>756</v>
      </c>
    </row>
    <row r="79" spans="1:3" x14ac:dyDescent="0.3">
      <c r="A79" t="s">
        <v>757</v>
      </c>
      <c r="B79" t="s">
        <v>758</v>
      </c>
      <c r="C79" s="166" t="s">
        <v>759</v>
      </c>
    </row>
    <row r="80" spans="1:3" x14ac:dyDescent="0.3">
      <c r="A80" t="s">
        <v>760</v>
      </c>
      <c r="B80" t="s">
        <v>761</v>
      </c>
      <c r="C80" s="166" t="s">
        <v>762</v>
      </c>
    </row>
    <row r="81" spans="1:3" x14ac:dyDescent="0.3">
      <c r="A81" t="s">
        <v>763</v>
      </c>
      <c r="B81" t="s">
        <v>764</v>
      </c>
      <c r="C81" s="166" t="s">
        <v>765</v>
      </c>
    </row>
    <row r="82" spans="1:3" x14ac:dyDescent="0.3">
      <c r="A82" t="s">
        <v>327</v>
      </c>
      <c r="B82" s="5" t="s">
        <v>766</v>
      </c>
      <c r="C82" s="166" t="s">
        <v>767</v>
      </c>
    </row>
    <row r="83" spans="1:3" x14ac:dyDescent="0.3">
      <c r="A83" t="s">
        <v>768</v>
      </c>
      <c r="B83" t="s">
        <v>769</v>
      </c>
      <c r="C83" s="166" t="s">
        <v>770</v>
      </c>
    </row>
    <row r="84" spans="1:3" x14ac:dyDescent="0.3">
      <c r="A84" t="s">
        <v>771</v>
      </c>
      <c r="B84" t="s">
        <v>772</v>
      </c>
      <c r="C84" s="166" t="s">
        <v>773</v>
      </c>
    </row>
    <row r="85" spans="1:3" x14ac:dyDescent="0.3">
      <c r="A85" t="s">
        <v>774</v>
      </c>
      <c r="B85" t="s">
        <v>775</v>
      </c>
      <c r="C85" s="166" t="s">
        <v>776</v>
      </c>
    </row>
    <row r="86" spans="1:3" x14ac:dyDescent="0.3">
      <c r="A86" t="s">
        <v>777</v>
      </c>
      <c r="B86" t="s">
        <v>778</v>
      </c>
      <c r="C86" s="166" t="s">
        <v>779</v>
      </c>
    </row>
    <row r="87" spans="1:3" x14ac:dyDescent="0.3">
      <c r="A87" t="s">
        <v>780</v>
      </c>
      <c r="B87" t="s">
        <v>781</v>
      </c>
      <c r="C87" s="166" t="s">
        <v>782</v>
      </c>
    </row>
    <row r="88" spans="1:3" x14ac:dyDescent="0.3">
      <c r="A88" t="s">
        <v>783</v>
      </c>
      <c r="B88" t="s">
        <v>784</v>
      </c>
      <c r="C88" s="166" t="s">
        <v>785</v>
      </c>
    </row>
    <row r="89" spans="1:3" x14ac:dyDescent="0.3">
      <c r="A89" t="s">
        <v>786</v>
      </c>
      <c r="B89" t="s">
        <v>787</v>
      </c>
      <c r="C89" s="166" t="s">
        <v>788</v>
      </c>
    </row>
    <row r="90" spans="1:3" x14ac:dyDescent="0.3">
      <c r="A90" t="s">
        <v>789</v>
      </c>
      <c r="B90" t="s">
        <v>790</v>
      </c>
      <c r="C90" s="166" t="s">
        <v>791</v>
      </c>
    </row>
    <row r="91" spans="1:3" x14ac:dyDescent="0.3">
      <c r="A91" t="s">
        <v>792</v>
      </c>
      <c r="B91" t="s">
        <v>793</v>
      </c>
      <c r="C91" s="166" t="s">
        <v>794</v>
      </c>
    </row>
    <row r="92" spans="1:3" x14ac:dyDescent="0.3">
      <c r="A92" t="s">
        <v>795</v>
      </c>
      <c r="B92" t="s">
        <v>796</v>
      </c>
      <c r="C92" s="166" t="s">
        <v>797</v>
      </c>
    </row>
    <row r="93" spans="1:3" x14ac:dyDescent="0.3">
      <c r="A93" t="s">
        <v>798</v>
      </c>
      <c r="B93" t="s">
        <v>799</v>
      </c>
      <c r="C93" s="166" t="s">
        <v>800</v>
      </c>
    </row>
    <row r="94" spans="1:3" x14ac:dyDescent="0.3">
      <c r="A94" t="s">
        <v>801</v>
      </c>
      <c r="B94" t="s">
        <v>802</v>
      </c>
      <c r="C94" s="166" t="s">
        <v>803</v>
      </c>
    </row>
    <row r="95" spans="1:3" x14ac:dyDescent="0.3">
      <c r="A95" t="s">
        <v>804</v>
      </c>
      <c r="B95" t="s">
        <v>805</v>
      </c>
      <c r="C95" s="166" t="s">
        <v>806</v>
      </c>
    </row>
    <row r="96" spans="1:3" x14ac:dyDescent="0.3">
      <c r="A96" t="s">
        <v>807</v>
      </c>
      <c r="B96" t="s">
        <v>808</v>
      </c>
      <c r="C96" s="166" t="s">
        <v>809</v>
      </c>
    </row>
    <row r="97" spans="1:3" x14ac:dyDescent="0.3">
      <c r="A97" t="s">
        <v>810</v>
      </c>
      <c r="B97" t="s">
        <v>811</v>
      </c>
      <c r="C97" s="166" t="s">
        <v>812</v>
      </c>
    </row>
    <row r="98" spans="1:3" x14ac:dyDescent="0.3">
      <c r="A98" t="s">
        <v>813</v>
      </c>
      <c r="B98" t="s">
        <v>814</v>
      </c>
      <c r="C98" s="166" t="s">
        <v>815</v>
      </c>
    </row>
    <row r="99" spans="1:3" x14ac:dyDescent="0.3">
      <c r="A99" t="s">
        <v>816</v>
      </c>
      <c r="B99" t="s">
        <v>817</v>
      </c>
      <c r="C99" s="166" t="s">
        <v>818</v>
      </c>
    </row>
    <row r="100" spans="1:3" x14ac:dyDescent="0.3">
      <c r="A100" t="s">
        <v>819</v>
      </c>
      <c r="B100" t="s">
        <v>820</v>
      </c>
      <c r="C100" s="166" t="s">
        <v>821</v>
      </c>
    </row>
    <row r="101" spans="1:3" x14ac:dyDescent="0.3">
      <c r="A101" t="s">
        <v>822</v>
      </c>
      <c r="B101" t="s">
        <v>823</v>
      </c>
      <c r="C101" s="166" t="s">
        <v>824</v>
      </c>
    </row>
    <row r="102" spans="1:3" x14ac:dyDescent="0.3">
      <c r="A102" t="s">
        <v>825</v>
      </c>
      <c r="B102" t="s">
        <v>826</v>
      </c>
      <c r="C102" s="166" t="s">
        <v>827</v>
      </c>
    </row>
    <row r="103" spans="1:3" x14ac:dyDescent="0.3">
      <c r="A103" t="s">
        <v>828</v>
      </c>
      <c r="B103" t="s">
        <v>829</v>
      </c>
      <c r="C103" s="166" t="s">
        <v>830</v>
      </c>
    </row>
    <row r="104" spans="1:3" x14ac:dyDescent="0.3">
      <c r="A104" t="s">
        <v>324</v>
      </c>
      <c r="B104" t="s">
        <v>831</v>
      </c>
      <c r="C104" s="166" t="s">
        <v>832</v>
      </c>
    </row>
    <row r="105" spans="1:3" x14ac:dyDescent="0.3">
      <c r="A105" t="s">
        <v>390</v>
      </c>
      <c r="B105" t="s">
        <v>833</v>
      </c>
      <c r="C105" s="166" t="s">
        <v>834</v>
      </c>
    </row>
    <row r="106" spans="1:3" x14ac:dyDescent="0.3">
      <c r="A106" t="s">
        <v>835</v>
      </c>
      <c r="B106" t="s">
        <v>836</v>
      </c>
      <c r="C106" s="166" t="s">
        <v>837</v>
      </c>
    </row>
    <row r="107" spans="1:3" x14ac:dyDescent="0.3">
      <c r="A107" t="s">
        <v>372</v>
      </c>
      <c r="B107" t="s">
        <v>838</v>
      </c>
      <c r="C107" s="166" t="s">
        <v>839</v>
      </c>
    </row>
    <row r="108" spans="1:3" x14ac:dyDescent="0.3">
      <c r="A108" t="s">
        <v>840</v>
      </c>
      <c r="B108" t="s">
        <v>841</v>
      </c>
      <c r="C108" s="166" t="s">
        <v>842</v>
      </c>
    </row>
    <row r="109" spans="1:3" x14ac:dyDescent="0.3">
      <c r="A109" t="s">
        <v>843</v>
      </c>
      <c r="B109" t="s">
        <v>844</v>
      </c>
      <c r="C109" s="166" t="s">
        <v>845</v>
      </c>
    </row>
    <row r="110" spans="1:3" x14ac:dyDescent="0.3">
      <c r="A110" t="s">
        <v>846</v>
      </c>
      <c r="B110" t="s">
        <v>847</v>
      </c>
      <c r="C110" s="166" t="s">
        <v>848</v>
      </c>
    </row>
    <row r="111" spans="1:3" x14ac:dyDescent="0.3">
      <c r="A111" t="s">
        <v>376</v>
      </c>
      <c r="B111" t="s">
        <v>849</v>
      </c>
      <c r="C111" s="166" t="s">
        <v>850</v>
      </c>
    </row>
    <row r="112" spans="1:3" x14ac:dyDescent="0.3">
      <c r="A112" t="s">
        <v>851</v>
      </c>
      <c r="B112" t="s">
        <v>852</v>
      </c>
      <c r="C112" s="166" t="s">
        <v>853</v>
      </c>
    </row>
    <row r="113" spans="1:3" x14ac:dyDescent="0.3">
      <c r="A113" t="s">
        <v>854</v>
      </c>
      <c r="B113" t="s">
        <v>855</v>
      </c>
      <c r="C113" s="166" t="s">
        <v>856</v>
      </c>
    </row>
    <row r="114" spans="1:3" x14ac:dyDescent="0.3">
      <c r="A114" t="s">
        <v>857</v>
      </c>
      <c r="B114" t="s">
        <v>858</v>
      </c>
      <c r="C114" s="166" t="s">
        <v>859</v>
      </c>
    </row>
    <row r="115" spans="1:3" x14ac:dyDescent="0.3">
      <c r="A115" t="s">
        <v>860</v>
      </c>
      <c r="B115" t="s">
        <v>861</v>
      </c>
      <c r="C115" s="166" t="s">
        <v>862</v>
      </c>
    </row>
    <row r="116" spans="1:3" x14ac:dyDescent="0.3">
      <c r="A116" t="s">
        <v>863</v>
      </c>
      <c r="B116" t="s">
        <v>864</v>
      </c>
      <c r="C116" s="166" t="s">
        <v>865</v>
      </c>
    </row>
    <row r="117" spans="1:3" x14ac:dyDescent="0.3">
      <c r="A117" t="s">
        <v>866</v>
      </c>
      <c r="B117" t="s">
        <v>867</v>
      </c>
      <c r="C117" s="166" t="s">
        <v>868</v>
      </c>
    </row>
    <row r="118" spans="1:3" x14ac:dyDescent="0.3">
      <c r="A118" t="s">
        <v>869</v>
      </c>
      <c r="B118" t="s">
        <v>870</v>
      </c>
      <c r="C118" s="166" t="s">
        <v>871</v>
      </c>
    </row>
    <row r="119" spans="1:3" x14ac:dyDescent="0.3">
      <c r="A119" t="s">
        <v>872</v>
      </c>
      <c r="B119" t="s">
        <v>873</v>
      </c>
      <c r="C119" s="166" t="s">
        <v>874</v>
      </c>
    </row>
    <row r="120" spans="1:3" x14ac:dyDescent="0.3">
      <c r="A120" t="s">
        <v>875</v>
      </c>
      <c r="B120" t="s">
        <v>876</v>
      </c>
      <c r="C120" s="166" t="s">
        <v>877</v>
      </c>
    </row>
    <row r="121" spans="1:3" x14ac:dyDescent="0.3">
      <c r="A121" t="s">
        <v>878</v>
      </c>
      <c r="B121" t="s">
        <v>879</v>
      </c>
      <c r="C121" s="166" t="s">
        <v>880</v>
      </c>
    </row>
    <row r="122" spans="1:3" x14ac:dyDescent="0.3">
      <c r="A122" t="s">
        <v>881</v>
      </c>
      <c r="B122" t="s">
        <v>882</v>
      </c>
      <c r="C122" s="166" t="s">
        <v>883</v>
      </c>
    </row>
    <row r="123" spans="1:3" x14ac:dyDescent="0.3">
      <c r="A123" t="s">
        <v>884</v>
      </c>
      <c r="B123" t="s">
        <v>885</v>
      </c>
      <c r="C123" s="166" t="s">
        <v>886</v>
      </c>
    </row>
    <row r="124" spans="1:3" x14ac:dyDescent="0.3">
      <c r="A124" t="s">
        <v>887</v>
      </c>
      <c r="B124" t="s">
        <v>888</v>
      </c>
      <c r="C124" s="166" t="s">
        <v>889</v>
      </c>
    </row>
    <row r="125" spans="1:3" x14ac:dyDescent="0.3">
      <c r="A125" t="s">
        <v>890</v>
      </c>
      <c r="B125" t="s">
        <v>891</v>
      </c>
      <c r="C125" s="166" t="s">
        <v>892</v>
      </c>
    </row>
    <row r="126" spans="1:3" x14ac:dyDescent="0.3">
      <c r="A126" t="s">
        <v>893</v>
      </c>
      <c r="B126" t="s">
        <v>894</v>
      </c>
      <c r="C126" s="166" t="s">
        <v>895</v>
      </c>
    </row>
    <row r="127" spans="1:3" x14ac:dyDescent="0.3">
      <c r="A127" t="s">
        <v>896</v>
      </c>
      <c r="B127" t="s">
        <v>897</v>
      </c>
      <c r="C127" s="166" t="s">
        <v>898</v>
      </c>
    </row>
    <row r="128" spans="1:3" x14ac:dyDescent="0.3">
      <c r="A128" t="s">
        <v>899</v>
      </c>
      <c r="B128" t="s">
        <v>900</v>
      </c>
      <c r="C128" s="166" t="s">
        <v>901</v>
      </c>
    </row>
    <row r="129" spans="1:3" x14ac:dyDescent="0.3">
      <c r="A129" t="s">
        <v>902</v>
      </c>
      <c r="B129" t="s">
        <v>903</v>
      </c>
      <c r="C129" s="166" t="s">
        <v>904</v>
      </c>
    </row>
    <row r="130" spans="1:3" x14ac:dyDescent="0.3">
      <c r="A130" t="s">
        <v>905</v>
      </c>
      <c r="B130" t="s">
        <v>906</v>
      </c>
      <c r="C130" s="166" t="s">
        <v>907</v>
      </c>
    </row>
    <row r="131" spans="1:3" x14ac:dyDescent="0.3">
      <c r="A131" t="s">
        <v>908</v>
      </c>
      <c r="B131" t="s">
        <v>909</v>
      </c>
      <c r="C131" s="166" t="s">
        <v>910</v>
      </c>
    </row>
    <row r="132" spans="1:3" x14ac:dyDescent="0.3">
      <c r="A132" t="s">
        <v>911</v>
      </c>
      <c r="B132" t="s">
        <v>912</v>
      </c>
      <c r="C132" s="166" t="s">
        <v>913</v>
      </c>
    </row>
    <row r="133" spans="1:3" x14ac:dyDescent="0.3">
      <c r="A133" t="s">
        <v>914</v>
      </c>
      <c r="B133" t="s">
        <v>915</v>
      </c>
      <c r="C133" s="166" t="s">
        <v>916</v>
      </c>
    </row>
    <row r="134" spans="1:3" x14ac:dyDescent="0.3">
      <c r="A134" t="s">
        <v>917</v>
      </c>
      <c r="B134" t="s">
        <v>918</v>
      </c>
      <c r="C134" s="166" t="s">
        <v>919</v>
      </c>
    </row>
    <row r="135" spans="1:3" x14ac:dyDescent="0.3">
      <c r="A135" t="s">
        <v>920</v>
      </c>
      <c r="B135" t="s">
        <v>583</v>
      </c>
      <c r="C135" s="166" t="s">
        <v>921</v>
      </c>
    </row>
    <row r="136" spans="1:3" x14ac:dyDescent="0.3">
      <c r="A136" t="s">
        <v>922</v>
      </c>
      <c r="B136" t="s">
        <v>923</v>
      </c>
      <c r="C136" s="166" t="s">
        <v>924</v>
      </c>
    </row>
    <row r="137" spans="1:3" x14ac:dyDescent="0.3">
      <c r="A137" t="s">
        <v>925</v>
      </c>
      <c r="B137" t="s">
        <v>926</v>
      </c>
      <c r="C137" s="166" t="s">
        <v>927</v>
      </c>
    </row>
    <row r="138" spans="1:3" x14ac:dyDescent="0.3">
      <c r="A138" t="s">
        <v>928</v>
      </c>
      <c r="B138" t="s">
        <v>929</v>
      </c>
      <c r="C138" s="166" t="s">
        <v>930</v>
      </c>
    </row>
    <row r="139" spans="1:3" x14ac:dyDescent="0.3">
      <c r="A139" t="s">
        <v>931</v>
      </c>
      <c r="B139" t="s">
        <v>932</v>
      </c>
      <c r="C139" s="166" t="s">
        <v>933</v>
      </c>
    </row>
    <row r="140" spans="1:3" x14ac:dyDescent="0.3">
      <c r="A140" t="s">
        <v>934</v>
      </c>
      <c r="B140" t="s">
        <v>935</v>
      </c>
      <c r="C140" s="166" t="s">
        <v>936</v>
      </c>
    </row>
    <row r="141" spans="1:3" x14ac:dyDescent="0.3">
      <c r="A141" t="s">
        <v>1278</v>
      </c>
      <c r="B141" t="s">
        <v>1279</v>
      </c>
      <c r="C141" s="166" t="s">
        <v>1280</v>
      </c>
    </row>
    <row r="142" spans="1:3" x14ac:dyDescent="0.3">
      <c r="A142" t="s">
        <v>1281</v>
      </c>
      <c r="B142" t="s">
        <v>1282</v>
      </c>
      <c r="C142" s="166" t="s">
        <v>1283</v>
      </c>
    </row>
    <row r="143" spans="1:3" x14ac:dyDescent="0.3">
      <c r="A143" t="s">
        <v>1284</v>
      </c>
      <c r="B143" t="s">
        <v>1285</v>
      </c>
      <c r="C143" s="166" t="s">
        <v>1286</v>
      </c>
    </row>
    <row r="144" spans="1:3" x14ac:dyDescent="0.3">
      <c r="A144" t="s">
        <v>1287</v>
      </c>
      <c r="B144" t="s">
        <v>1288</v>
      </c>
      <c r="C144" s="166" t="s">
        <v>1289</v>
      </c>
    </row>
    <row r="145" spans="1:3" x14ac:dyDescent="0.3">
      <c r="A145" t="s">
        <v>1290</v>
      </c>
      <c r="B145" t="s">
        <v>951</v>
      </c>
      <c r="C145" s="166" t="s">
        <v>952</v>
      </c>
    </row>
    <row r="146" spans="1:3" x14ac:dyDescent="0.3">
      <c r="A146" t="s">
        <v>1291</v>
      </c>
      <c r="B146" t="s">
        <v>953</v>
      </c>
      <c r="C146" s="166" t="s">
        <v>954</v>
      </c>
    </row>
    <row r="147" spans="1:3" x14ac:dyDescent="0.3">
      <c r="A147" t="s">
        <v>1292</v>
      </c>
      <c r="B147" t="s">
        <v>955</v>
      </c>
      <c r="C147" s="166" t="s">
        <v>956</v>
      </c>
    </row>
    <row r="148" spans="1:3" x14ac:dyDescent="0.3">
      <c r="A148" t="s">
        <v>1293</v>
      </c>
      <c r="B148" t="s">
        <v>947</v>
      </c>
      <c r="C148" s="166" t="s">
        <v>948</v>
      </c>
    </row>
    <row r="149" spans="1:3" x14ac:dyDescent="0.3">
      <c r="A149" t="s">
        <v>1294</v>
      </c>
      <c r="B149" t="s">
        <v>949</v>
      </c>
      <c r="C149" s="166" t="s">
        <v>950</v>
      </c>
    </row>
    <row r="150" spans="1:3" x14ac:dyDescent="0.3">
      <c r="A150" t="s">
        <v>1295</v>
      </c>
      <c r="B150" t="s">
        <v>1296</v>
      </c>
      <c r="C150" s="166" t="s">
        <v>1297</v>
      </c>
    </row>
    <row r="151" spans="1:3" x14ac:dyDescent="0.3">
      <c r="A151" t="s">
        <v>1298</v>
      </c>
      <c r="B151" t="s">
        <v>1299</v>
      </c>
      <c r="C151" s="166" t="s">
        <v>1300</v>
      </c>
    </row>
    <row r="152" spans="1:3" x14ac:dyDescent="0.3">
      <c r="A152" t="s">
        <v>1301</v>
      </c>
      <c r="B152" t="s">
        <v>1302</v>
      </c>
      <c r="C152" s="166" t="s">
        <v>1303</v>
      </c>
    </row>
    <row r="153" spans="1:3" x14ac:dyDescent="0.3">
      <c r="A153" t="s">
        <v>1304</v>
      </c>
      <c r="B153" t="s">
        <v>1305</v>
      </c>
      <c r="C153" s="166" t="s">
        <v>1306</v>
      </c>
    </row>
    <row r="154" spans="1:3" x14ac:dyDescent="0.3">
      <c r="A154" t="s">
        <v>1307</v>
      </c>
      <c r="B154" t="s">
        <v>1308</v>
      </c>
      <c r="C154" s="166" t="s">
        <v>1309</v>
      </c>
    </row>
    <row r="155" spans="1:3" x14ac:dyDescent="0.3">
      <c r="A155" t="s">
        <v>1310</v>
      </c>
      <c r="B155" t="s">
        <v>1311</v>
      </c>
      <c r="C155" s="166" t="s">
        <v>1312</v>
      </c>
    </row>
    <row r="156" spans="1:3" x14ac:dyDescent="0.3">
      <c r="A156" t="s">
        <v>1313</v>
      </c>
      <c r="B156" t="s">
        <v>1311</v>
      </c>
      <c r="C156" s="251" t="s">
        <v>1314</v>
      </c>
    </row>
    <row r="157" spans="1:3" x14ac:dyDescent="0.3">
      <c r="A157" t="s">
        <v>1315</v>
      </c>
      <c r="B157" t="s">
        <v>1316</v>
      </c>
      <c r="C157" s="166" t="s">
        <v>1317</v>
      </c>
    </row>
    <row r="158" spans="1:3" x14ac:dyDescent="0.3">
      <c r="A158" t="s">
        <v>1318</v>
      </c>
      <c r="B158" t="s">
        <v>1319</v>
      </c>
      <c r="C158" s="166" t="s">
        <v>1320</v>
      </c>
    </row>
    <row r="159" spans="1:3" x14ac:dyDescent="0.3">
      <c r="A159" t="s">
        <v>1321</v>
      </c>
      <c r="B159" t="s">
        <v>1322</v>
      </c>
      <c r="C159" s="166" t="s">
        <v>1323</v>
      </c>
    </row>
    <row r="160" spans="1:3" x14ac:dyDescent="0.3">
      <c r="A160" t="s">
        <v>1324</v>
      </c>
      <c r="B160" t="s">
        <v>1325</v>
      </c>
      <c r="C160" s="166" t="s">
        <v>1326</v>
      </c>
    </row>
    <row r="161" spans="1:3" x14ac:dyDescent="0.3">
      <c r="A161" t="s">
        <v>1327</v>
      </c>
      <c r="B161" t="s">
        <v>1328</v>
      </c>
      <c r="C161" s="166" t="s">
        <v>1329</v>
      </c>
    </row>
    <row r="162" spans="1:3" x14ac:dyDescent="0.3">
      <c r="A162" t="s">
        <v>1330</v>
      </c>
      <c r="B162" t="s">
        <v>1331</v>
      </c>
      <c r="C162" s="166" t="s">
        <v>1332</v>
      </c>
    </row>
    <row r="163" spans="1:3" x14ac:dyDescent="0.3">
      <c r="A163" t="s">
        <v>1333</v>
      </c>
      <c r="B163" t="s">
        <v>1334</v>
      </c>
      <c r="C163" s="166" t="s">
        <v>1335</v>
      </c>
    </row>
    <row r="164" spans="1:3" x14ac:dyDescent="0.3">
      <c r="A164" t="s">
        <v>1424</v>
      </c>
      <c r="B164" s="24" t="s">
        <v>969</v>
      </c>
      <c r="C164" s="166"/>
    </row>
    <row r="165" spans="1:3" x14ac:dyDescent="0.3">
      <c r="A165" t="s">
        <v>1337</v>
      </c>
      <c r="B165" t="s">
        <v>1342</v>
      </c>
      <c r="C165" s="166" t="s">
        <v>1341</v>
      </c>
    </row>
    <row r="166" spans="1:3" x14ac:dyDescent="0.3">
      <c r="A166" t="s">
        <v>1338</v>
      </c>
      <c r="B166" t="s">
        <v>1339</v>
      </c>
      <c r="C166" s="166" t="s">
        <v>1340</v>
      </c>
    </row>
    <row r="167" spans="1:3" x14ac:dyDescent="0.3">
      <c r="A167" t="s">
        <v>1343</v>
      </c>
      <c r="B167" t="s">
        <v>1344</v>
      </c>
      <c r="C167" s="166" t="s">
        <v>1345</v>
      </c>
    </row>
    <row r="168" spans="1:3" x14ac:dyDescent="0.3">
      <c r="A168" t="s">
        <v>1346</v>
      </c>
      <c r="B168" t="s">
        <v>1347</v>
      </c>
      <c r="C168" s="166" t="s">
        <v>1348</v>
      </c>
    </row>
    <row r="169" spans="1:3" x14ac:dyDescent="0.3">
      <c r="A169" t="s">
        <v>1349</v>
      </c>
      <c r="B169" t="s">
        <v>1419</v>
      </c>
      <c r="C169" s="166" t="s">
        <v>1350</v>
      </c>
    </row>
    <row r="170" spans="1:3" x14ac:dyDescent="0.3">
      <c r="A170" t="s">
        <v>1351</v>
      </c>
      <c r="B170" t="s">
        <v>1420</v>
      </c>
      <c r="C170" s="166" t="s">
        <v>1421</v>
      </c>
    </row>
    <row r="171" spans="1:3" x14ac:dyDescent="0.3">
      <c r="A171" t="s">
        <v>1352</v>
      </c>
      <c r="B171" t="s">
        <v>1422</v>
      </c>
      <c r="C171" s="166" t="s">
        <v>1423</v>
      </c>
    </row>
    <row r="172" spans="1:3" x14ac:dyDescent="0.3">
      <c r="A172" t="s">
        <v>1353</v>
      </c>
      <c r="B172" t="s">
        <v>1354</v>
      </c>
      <c r="C172" s="166" t="s">
        <v>1355</v>
      </c>
    </row>
    <row r="173" spans="1:3" x14ac:dyDescent="0.3">
      <c r="A173" t="s">
        <v>1356</v>
      </c>
      <c r="B173" t="s">
        <v>1357</v>
      </c>
      <c r="C173" s="166" t="s">
        <v>1358</v>
      </c>
    </row>
    <row r="174" spans="1:3" x14ac:dyDescent="0.3">
      <c r="A174" t="s">
        <v>1359</v>
      </c>
      <c r="B174" t="s">
        <v>1360</v>
      </c>
      <c r="C174" s="166" t="s">
        <v>1361</v>
      </c>
    </row>
    <row r="175" spans="1:3" x14ac:dyDescent="0.3">
      <c r="A175" t="s">
        <v>1362</v>
      </c>
      <c r="B175" t="s">
        <v>1363</v>
      </c>
      <c r="C175" s="166" t="s">
        <v>1364</v>
      </c>
    </row>
    <row r="176" spans="1:3" x14ac:dyDescent="0.3">
      <c r="A176" t="s">
        <v>1365</v>
      </c>
      <c r="B176" t="s">
        <v>1366</v>
      </c>
      <c r="C176" s="166" t="s">
        <v>1367</v>
      </c>
    </row>
    <row r="177" spans="1:3" x14ac:dyDescent="0.3">
      <c r="A177" t="s">
        <v>1368</v>
      </c>
      <c r="B177" t="s">
        <v>1369</v>
      </c>
      <c r="C177" s="166" t="s">
        <v>1370</v>
      </c>
    </row>
    <row r="178" spans="1:3" x14ac:dyDescent="0.3">
      <c r="A178" t="s">
        <v>1371</v>
      </c>
      <c r="B178" t="s">
        <v>1372</v>
      </c>
      <c r="C178" s="166" t="s">
        <v>1373</v>
      </c>
    </row>
    <row r="179" spans="1:3" x14ac:dyDescent="0.3">
      <c r="A179" t="s">
        <v>1374</v>
      </c>
      <c r="B179" t="s">
        <v>1375</v>
      </c>
      <c r="C179" s="166" t="s">
        <v>1376</v>
      </c>
    </row>
    <row r="180" spans="1:3" x14ac:dyDescent="0.3">
      <c r="A180" t="s">
        <v>1377</v>
      </c>
      <c r="B180" t="s">
        <v>1378</v>
      </c>
      <c r="C180" s="166" t="s">
        <v>1379</v>
      </c>
    </row>
    <row r="181" spans="1:3" x14ac:dyDescent="0.3">
      <c r="A181" t="s">
        <v>1380</v>
      </c>
      <c r="B181" t="s">
        <v>1381</v>
      </c>
      <c r="C181" s="166" t="s">
        <v>1382</v>
      </c>
    </row>
    <row r="182" spans="1:3" x14ac:dyDescent="0.3">
      <c r="A182" t="s">
        <v>1383</v>
      </c>
      <c r="B182" t="s">
        <v>1384</v>
      </c>
      <c r="C182" s="166" t="s">
        <v>1385</v>
      </c>
    </row>
    <row r="183" spans="1:3" x14ac:dyDescent="0.3">
      <c r="A183" t="s">
        <v>1386</v>
      </c>
      <c r="B183" t="s">
        <v>1387</v>
      </c>
      <c r="C183" s="166" t="s">
        <v>1388</v>
      </c>
    </row>
    <row r="184" spans="1:3" x14ac:dyDescent="0.3">
      <c r="A184" t="s">
        <v>1389</v>
      </c>
      <c r="B184" t="s">
        <v>1390</v>
      </c>
      <c r="C184" s="166" t="s">
        <v>1391</v>
      </c>
    </row>
    <row r="185" spans="1:3" x14ac:dyDescent="0.3">
      <c r="A185" t="s">
        <v>1392</v>
      </c>
      <c r="B185" t="s">
        <v>982</v>
      </c>
      <c r="C185" s="166" t="s">
        <v>983</v>
      </c>
    </row>
    <row r="186" spans="1:3" x14ac:dyDescent="0.3">
      <c r="A186" t="s">
        <v>1393</v>
      </c>
      <c r="B186" t="s">
        <v>1394</v>
      </c>
      <c r="C186" s="166" t="s">
        <v>1395</v>
      </c>
    </row>
    <row r="187" spans="1:3" x14ac:dyDescent="0.3">
      <c r="A187" t="s">
        <v>1396</v>
      </c>
      <c r="B187" t="s">
        <v>1397</v>
      </c>
      <c r="C187" s="166" t="s">
        <v>1398</v>
      </c>
    </row>
    <row r="188" spans="1:3" x14ac:dyDescent="0.3">
      <c r="A188" t="s">
        <v>1399</v>
      </c>
      <c r="B188" t="s">
        <v>1400</v>
      </c>
      <c r="C188" s="166" t="s">
        <v>1401</v>
      </c>
    </row>
    <row r="189" spans="1:3" x14ac:dyDescent="0.3">
      <c r="A189" t="s">
        <v>1402</v>
      </c>
      <c r="B189" t="s">
        <v>957</v>
      </c>
      <c r="C189" s="166" t="s">
        <v>958</v>
      </c>
    </row>
    <row r="190" spans="1:3" x14ac:dyDescent="0.3">
      <c r="A190" t="s">
        <v>1403</v>
      </c>
      <c r="B190" t="s">
        <v>1404</v>
      </c>
      <c r="C190" s="166" t="s">
        <v>1405</v>
      </c>
    </row>
    <row r="191" spans="1:3" x14ac:dyDescent="0.3">
      <c r="A191" t="s">
        <v>1406</v>
      </c>
      <c r="B191" t="s">
        <v>1407</v>
      </c>
      <c r="C191" s="251" t="s">
        <v>1408</v>
      </c>
    </row>
    <row r="192" spans="1:3" x14ac:dyDescent="0.3">
      <c r="A192" t="s">
        <v>1409</v>
      </c>
      <c r="B192" t="s">
        <v>1410</v>
      </c>
    </row>
    <row r="193" spans="1:3" x14ac:dyDescent="0.3">
      <c r="A193" t="s">
        <v>1411</v>
      </c>
      <c r="B193" t="s">
        <v>1412</v>
      </c>
      <c r="C193" s="166" t="s">
        <v>1413</v>
      </c>
    </row>
    <row r="194" spans="1:3" x14ac:dyDescent="0.3">
      <c r="A194" t="s">
        <v>1414</v>
      </c>
      <c r="B194" t="s">
        <v>1415</v>
      </c>
      <c r="C194" s="166" t="s">
        <v>1416</v>
      </c>
    </row>
    <row r="195" spans="1:3" x14ac:dyDescent="0.3">
      <c r="A195" t="s">
        <v>1417</v>
      </c>
      <c r="B195" t="s">
        <v>1322</v>
      </c>
      <c r="C195" s="166" t="s">
        <v>1323</v>
      </c>
    </row>
    <row r="196" spans="1:3" x14ac:dyDescent="0.3">
      <c r="A196" t="s">
        <v>1418</v>
      </c>
      <c r="B196" t="s">
        <v>959</v>
      </c>
      <c r="C196" s="166" t="s">
        <v>960</v>
      </c>
    </row>
    <row r="197" spans="1:3" x14ac:dyDescent="0.3">
      <c r="A197" t="s">
        <v>1427</v>
      </c>
      <c r="B197" t="s">
        <v>937</v>
      </c>
      <c r="C197" s="166" t="s">
        <v>938</v>
      </c>
    </row>
    <row r="198" spans="1:3" x14ac:dyDescent="0.3">
      <c r="A198" t="s">
        <v>1428</v>
      </c>
      <c r="B198" t="s">
        <v>939</v>
      </c>
      <c r="C198" s="166" t="s">
        <v>940</v>
      </c>
    </row>
    <row r="199" spans="1:3" x14ac:dyDescent="0.3">
      <c r="A199" t="s">
        <v>1429</v>
      </c>
      <c r="B199" t="s">
        <v>941</v>
      </c>
      <c r="C199" s="166" t="s">
        <v>942</v>
      </c>
    </row>
    <row r="200" spans="1:3" x14ac:dyDescent="0.3">
      <c r="A200" t="s">
        <v>1430</v>
      </c>
      <c r="B200" t="s">
        <v>943</v>
      </c>
      <c r="C200" s="166" t="s">
        <v>944</v>
      </c>
    </row>
    <row r="201" spans="1:3" x14ac:dyDescent="0.3">
      <c r="A201" t="s">
        <v>1431</v>
      </c>
      <c r="B201" t="s">
        <v>945</v>
      </c>
      <c r="C201" s="166" t="s">
        <v>946</v>
      </c>
    </row>
    <row r="202" spans="1:3" x14ac:dyDescent="0.3">
      <c r="A202" t="s">
        <v>1436</v>
      </c>
      <c r="B202" t="s">
        <v>961</v>
      </c>
      <c r="C202" s="166" t="s">
        <v>962</v>
      </c>
    </row>
    <row r="203" spans="1:3" x14ac:dyDescent="0.3">
      <c r="A203" t="s">
        <v>1437</v>
      </c>
      <c r="B203" t="s">
        <v>963</v>
      </c>
      <c r="C203" s="166" t="s">
        <v>964</v>
      </c>
    </row>
    <row r="204" spans="1:3" x14ac:dyDescent="0.3">
      <c r="A204" t="s">
        <v>1438</v>
      </c>
      <c r="B204" t="s">
        <v>965</v>
      </c>
      <c r="C204" s="166" t="s">
        <v>966</v>
      </c>
    </row>
    <row r="205" spans="1:3" x14ac:dyDescent="0.3">
      <c r="A205" t="s">
        <v>1439</v>
      </c>
      <c r="B205" t="s">
        <v>967</v>
      </c>
      <c r="C205" s="166" t="s">
        <v>968</v>
      </c>
    </row>
    <row r="206" spans="1:3" x14ac:dyDescent="0.3">
      <c r="A206" t="s">
        <v>1444</v>
      </c>
      <c r="B206" t="s">
        <v>970</v>
      </c>
      <c r="C206" s="166" t="s">
        <v>971</v>
      </c>
    </row>
    <row r="207" spans="1:3" x14ac:dyDescent="0.3">
      <c r="A207" t="s">
        <v>1445</v>
      </c>
      <c r="B207" t="s">
        <v>972</v>
      </c>
      <c r="C207" s="166" t="s">
        <v>973</v>
      </c>
    </row>
    <row r="208" spans="1:3" x14ac:dyDescent="0.3">
      <c r="A208" t="s">
        <v>1446</v>
      </c>
      <c r="B208" t="s">
        <v>974</v>
      </c>
      <c r="C208" s="166" t="s">
        <v>975</v>
      </c>
    </row>
    <row r="209" spans="1:3" x14ac:dyDescent="0.3">
      <c r="A209" t="s">
        <v>1447</v>
      </c>
      <c r="B209" t="s">
        <v>976</v>
      </c>
      <c r="C209" s="166" t="s">
        <v>977</v>
      </c>
    </row>
    <row r="210" spans="1:3" x14ac:dyDescent="0.3">
      <c r="A210" t="s">
        <v>1448</v>
      </c>
      <c r="B210" t="s">
        <v>978</v>
      </c>
      <c r="C210" s="166" t="s">
        <v>979</v>
      </c>
    </row>
    <row r="211" spans="1:3" x14ac:dyDescent="0.3">
      <c r="A211" t="s">
        <v>1449</v>
      </c>
      <c r="B211" t="s">
        <v>980</v>
      </c>
      <c r="C211" s="166" t="s">
        <v>981</v>
      </c>
    </row>
    <row r="212" spans="1:3" x14ac:dyDescent="0.3">
      <c r="A212" t="s">
        <v>1465</v>
      </c>
      <c r="B212" t="s">
        <v>716</v>
      </c>
      <c r="C212" s="166" t="s">
        <v>984</v>
      </c>
    </row>
    <row r="215" spans="1:3" x14ac:dyDescent="0.3">
      <c r="B215" s="24"/>
    </row>
  </sheetData>
  <hyperlinks>
    <hyperlink ref="C3" r:id="rId1" xr:uid="{B07CD935-35DC-4ABD-8883-E3211C4590AE}"/>
    <hyperlink ref="C115" r:id="rId2" xr:uid="{3A68F77E-FE1C-428F-A416-C4BD2389DA08}"/>
    <hyperlink ref="C140" r:id="rId3" xr:uid="{9787B1A4-BF54-479B-8F4D-D58229F81634}"/>
    <hyperlink ref="C139" r:id="rId4" xr:uid="{1970E0AE-D8CE-4BBB-A982-C97C8E5FADBA}"/>
    <hyperlink ref="C138" r:id="rId5" xr:uid="{A1E50669-B4D9-4408-914E-79C194B308BA}"/>
    <hyperlink ref="C137" r:id="rId6" xr:uid="{A9FBD07B-CCE2-4569-A83E-B67038966AB5}"/>
    <hyperlink ref="C136" r:id="rId7" xr:uid="{F84E08B7-DE75-4BBF-A5DC-B160F7596960}"/>
    <hyperlink ref="C135" r:id="rId8" xr:uid="{42F26FD2-D753-4D16-8A49-182541C2051F}"/>
    <hyperlink ref="C134" r:id="rId9" xr:uid="{B02A64DA-147C-4B52-B35F-5FAFDD7CD3CD}"/>
    <hyperlink ref="C133" r:id="rId10" xr:uid="{B9F651E8-6D2E-41E4-A4CA-C3360165BD7E}"/>
    <hyperlink ref="C132" r:id="rId11" xr:uid="{7E0814F2-5237-48BD-9427-559B273A93F0}"/>
    <hyperlink ref="C131" r:id="rId12" xr:uid="{BDC7AC85-A7CA-47F4-87A8-B34C8AB08481}"/>
    <hyperlink ref="C130" r:id="rId13" xr:uid="{211DE479-2E2A-4761-B645-1A0721AB2F5E}"/>
    <hyperlink ref="C129" r:id="rId14" xr:uid="{09340BEC-06F3-44E8-842C-B3403C3EEB29}"/>
    <hyperlink ref="C128" r:id="rId15" xr:uid="{F37F9684-311B-497B-A850-390F84F3219D}"/>
    <hyperlink ref="C127" r:id="rId16" xr:uid="{A93E8137-828D-4213-B4CE-0A4A8B199C73}"/>
    <hyperlink ref="C126" r:id="rId17" xr:uid="{91BAA56C-BF92-473F-92EB-7D44871BB517}"/>
    <hyperlink ref="C125" r:id="rId18" location="Electricity_prices_for_non-household_consumers" xr:uid="{97054536-AC5A-4E1E-947D-9E0608CDBC4F}"/>
    <hyperlink ref="C124" r:id="rId19" xr:uid="{67C0CB88-5EAC-4AEB-9733-B12372F27B44}"/>
    <hyperlink ref="C123" r:id="rId20" xr:uid="{A793D447-9572-4E3F-8B57-CDEF486CE3F6}"/>
    <hyperlink ref="C122" r:id="rId21" xr:uid="{5B776B3F-455B-4E86-BCD4-23E2DA5E604D}"/>
    <hyperlink ref="C121" r:id="rId22" xr:uid="{3EE65047-EA99-4E27-8BB4-BE963AD76AF8}"/>
    <hyperlink ref="C120" r:id="rId23" xr:uid="{5D019A64-CAD5-42E2-AB72-4607428E100C}"/>
    <hyperlink ref="C119" r:id="rId24" xr:uid="{BB3B2306-0CC9-41D0-8B16-08A19A97143F}"/>
    <hyperlink ref="C117" r:id="rId25" xr:uid="{F542E05D-557F-4149-8420-CB69CA3E9113}"/>
    <hyperlink ref="C118" r:id="rId26" xr:uid="{72A860E0-6315-4F53-B455-B0F1DB35B0EF}"/>
    <hyperlink ref="C114" r:id="rId27" xr:uid="{EF98BD3F-6D0C-410F-9067-63C75C921212}"/>
    <hyperlink ref="C113" r:id="rId28" xr:uid="{53883EEA-5287-47A7-9D0F-91EF22DDDEDF}"/>
    <hyperlink ref="C112" r:id="rId29" xr:uid="{41C98A71-D2F3-4C9C-99AF-B5A632D2FCE0}"/>
    <hyperlink ref="C111" r:id="rId30" xr:uid="{5F7FBE97-E84C-4DB2-94BA-235FCD0B43EE}"/>
    <hyperlink ref="C109" r:id="rId31" xr:uid="{F4BC7416-26CA-488A-A260-15AC6488D5D0}"/>
    <hyperlink ref="C110" r:id="rId32" xr:uid="{F4EF4CD6-0D3F-40CA-8F71-659229BAC1BB}"/>
    <hyperlink ref="C53" r:id="rId33" xr:uid="{20EBA2F2-AF4A-4C11-BC6D-2CD1E47B3300}"/>
    <hyperlink ref="C108" r:id="rId34" xr:uid="{FBD9EB6A-B4A8-4F61-8AF8-66A23D1981F2}"/>
    <hyperlink ref="C107" r:id="rId35" xr:uid="{DD6657C5-516D-4875-8BC6-4FC14B6113CB}"/>
    <hyperlink ref="C106" r:id="rId36" xr:uid="{2B5AA453-FE7A-45BD-B82B-79FFA523D611}"/>
    <hyperlink ref="C105" r:id="rId37" xr:uid="{0FB653F6-BD78-4EA1-9DE5-FAA3080CB641}"/>
    <hyperlink ref="C104" r:id="rId38" xr:uid="{33924FDC-C474-4588-8D38-590073A4FDB5}"/>
    <hyperlink ref="C103" r:id="rId39" xr:uid="{EDDFD764-E787-4830-AA31-80A7440E0F64}"/>
    <hyperlink ref="C102" r:id="rId40" xr:uid="{45463DA8-F4CC-42FA-855D-96C3D4AA29E2}"/>
    <hyperlink ref="C101" r:id="rId41" xr:uid="{97CA49E8-F655-4765-8C94-1F94B75878E9}"/>
    <hyperlink ref="C99" r:id="rId42" xr:uid="{19CA05B6-C560-448A-9251-B72D5F4424BD}"/>
    <hyperlink ref="C100" r:id="rId43" xr:uid="{19F923F5-FBA6-453E-A95D-0F2AD48ECCBC}"/>
    <hyperlink ref="C98" r:id="rId44" xr:uid="{84D3C951-9DC1-4769-8100-253A80DEFC16}"/>
    <hyperlink ref="C97" r:id="rId45" xr:uid="{A31AFAB0-1B6C-41AB-B9DF-3F6957B03689}"/>
    <hyperlink ref="C96" r:id="rId46" xr:uid="{70F5CB93-220E-4D53-A533-152BF749BD28}"/>
    <hyperlink ref="C95" r:id="rId47" xr:uid="{4F83737F-0F70-4EDA-B02D-428FC24FE654}"/>
    <hyperlink ref="C94" r:id="rId48" xr:uid="{CA9540F1-747A-41A9-907D-961BD2B3CADD}"/>
    <hyperlink ref="C93" r:id="rId49" xr:uid="{A6FC432A-B80E-448F-B8E5-CD05BBF90749}"/>
    <hyperlink ref="C92" r:id="rId50" xr:uid="{A2608AD2-36E1-4114-9113-8452A6C46CA9}"/>
    <hyperlink ref="C91" r:id="rId51" xr:uid="{286C3686-942E-4E5A-BD16-4425C9F04C72}"/>
    <hyperlink ref="C90" r:id="rId52" xr:uid="{94416468-7433-4948-9F69-0C8850C48B8E}"/>
    <hyperlink ref="C88" r:id="rId53" xr:uid="{19E2CA5C-017F-4947-AA21-6C562D66D61F}"/>
    <hyperlink ref="C89" r:id="rId54" xr:uid="{10370F5B-B548-4C0E-A0C0-F66C7D1E53D1}"/>
    <hyperlink ref="C87" r:id="rId55" xr:uid="{F69AAE6B-4027-417D-BC48-7218EA8617A5}"/>
    <hyperlink ref="C86" r:id="rId56" xr:uid="{B051F492-8EA1-4B64-BA91-1F1570D743EA}"/>
    <hyperlink ref="C84" r:id="rId57" xr:uid="{0CB0B21E-16B6-420C-BAB4-2CB8820766C0}"/>
    <hyperlink ref="C85" r:id="rId58" xr:uid="{2258FB0E-FA1B-49DB-A968-15822E5229EA}"/>
    <hyperlink ref="C83" r:id="rId59" xr:uid="{6C39340F-FC3E-49CD-9397-A1CBF295516B}"/>
    <hyperlink ref="C82" r:id="rId60" xr:uid="{0EBD9225-2CEF-42DE-BB9D-3FE359A24A3F}"/>
    <hyperlink ref="C81" r:id="rId61" xr:uid="{C14E8D03-D187-4AB4-AE3A-D3EE820CE353}"/>
    <hyperlink ref="C80" r:id="rId62" xr:uid="{163AF24C-1093-48C7-AA4D-18670ABA26A4}"/>
    <hyperlink ref="C79" r:id="rId63" xr:uid="{FB504124-9EB0-4AF2-891B-45DB1E2FDF9B}"/>
    <hyperlink ref="C78" r:id="rId64" xr:uid="{8956BE10-3ED1-4A99-AC8B-201ED36CBAC0}"/>
    <hyperlink ref="C77" r:id="rId65" xr:uid="{F9B50332-3423-4F97-99AB-82148D8DF9D9}"/>
    <hyperlink ref="C76" r:id="rId66" xr:uid="{5DDC85E1-C6DF-4A18-A218-A4032B513E72}"/>
    <hyperlink ref="C75" r:id="rId67" xr:uid="{083FD00C-9A48-4D2A-BEF4-253599780307}"/>
    <hyperlink ref="C74" r:id="rId68" xr:uid="{9B95FD2C-B8B4-4409-B999-F388DCF252AF}"/>
    <hyperlink ref="C73" r:id="rId69" xr:uid="{86685C74-6C92-472A-91AE-E80B42FCE3D9}"/>
    <hyperlink ref="C72" r:id="rId70" xr:uid="{9FF5B726-35E1-4F13-893F-BAB80CA75649}"/>
    <hyperlink ref="C71" r:id="rId71" xr:uid="{2815C429-0C72-4C57-B3A5-2997A23C85D9}"/>
    <hyperlink ref="C70" r:id="rId72" xr:uid="{825CF2EE-FC4C-4A6B-BE92-D755A599E34B}"/>
    <hyperlink ref="C68" r:id="rId73" xr:uid="{FC6B9E09-1CDD-495C-9589-C786D6DFCD0D}"/>
    <hyperlink ref="C69" r:id="rId74" xr:uid="{A75126FC-5F0B-4FF7-94C0-0EA6902A0D96}"/>
    <hyperlink ref="C67" r:id="rId75" xr:uid="{049BB5FB-D81D-4C38-BBBD-B621AA726865}"/>
    <hyperlink ref="C66" r:id="rId76" xr:uid="{05A4EFB6-A497-4333-97E1-A76936EDF2C9}"/>
    <hyperlink ref="C65" r:id="rId77" xr:uid="{A0AADBFA-8841-401A-8B97-D47F5D4D8FCD}"/>
    <hyperlink ref="C64" r:id="rId78" xr:uid="{4C5D6B2A-3368-4170-9968-1A84BC94068E}"/>
    <hyperlink ref="C7" r:id="rId79" xr:uid="{D9FE6411-F1AB-4B5B-A480-AFC644A6117F}"/>
    <hyperlink ref="C63" r:id="rId80" xr:uid="{E51A9F1B-9D6D-441D-B472-541504074721}"/>
    <hyperlink ref="C62" r:id="rId81" xr:uid="{7EFC4E08-B856-4DBE-BC87-686E093E3B76}"/>
    <hyperlink ref="C61" r:id="rId82" xr:uid="{5FC17592-21F5-4FBC-BB81-7CADDF362871}"/>
    <hyperlink ref="C60" r:id="rId83" xr:uid="{22CA3443-A933-4BA9-854F-ACA8E931B2CD}"/>
    <hyperlink ref="C59" r:id="rId84" xr:uid="{A4196A8E-6FEC-48AA-A0F9-0F37B30DDDAA}"/>
    <hyperlink ref="C58" r:id="rId85" xr:uid="{2871C200-2AA4-426A-8D59-A066D4711237}"/>
    <hyperlink ref="C57" r:id="rId86" xr:uid="{DB56BCC4-B3E4-4FB5-9C73-31A03E7587AE}"/>
    <hyperlink ref="C56" r:id="rId87" xr:uid="{FB7F2816-2908-4794-A1F8-D6A182A99F5F}"/>
    <hyperlink ref="C55" r:id="rId88" xr:uid="{7200F36A-E83E-46BC-A3DB-271CFFEED8B9}"/>
    <hyperlink ref="C54" r:id="rId89" xr:uid="{16C3CC5F-E8BE-44F8-AA23-4C9D9E2708AA}"/>
    <hyperlink ref="C52" r:id="rId90" xr:uid="{FC027749-B477-4D23-ADDE-36EEC4E7097D}"/>
    <hyperlink ref="C51" r:id="rId91" xr:uid="{C7A67AE7-7C28-479B-B096-36715A319A1F}"/>
    <hyperlink ref="C50" r:id="rId92" xr:uid="{5C1C45C9-8B46-48E2-B20E-49BB95A1B41F}"/>
    <hyperlink ref="C49" r:id="rId93" xr:uid="{E0114080-9DEA-4392-A5FA-3F6EC8B1D5F3}"/>
    <hyperlink ref="C48" r:id="rId94" xr:uid="{721FCA75-5BEB-4D8E-AAD3-913A1C042E37}"/>
    <hyperlink ref="C46" r:id="rId95" xr:uid="{1C72CCB1-972D-4DDB-9353-604B22784757}"/>
    <hyperlink ref="C44" r:id="rId96" xr:uid="{4E23499E-2D52-4418-BA2B-2F43312FDCFD}"/>
    <hyperlink ref="C43" r:id="rId97" xr:uid="{08093D92-E8C8-4508-9727-338861627BAC}"/>
    <hyperlink ref="C45" r:id="rId98" xr:uid="{94490A35-8563-4D4A-B985-B008D6C77F1F}"/>
    <hyperlink ref="C42" r:id="rId99" xr:uid="{E722FFF0-617F-492F-885A-2E925E40B73A}"/>
    <hyperlink ref="C41" r:id="rId100" xr:uid="{AF2B37EB-5FBD-4FA9-ABE6-89E26EE9B8AF}"/>
    <hyperlink ref="C40" r:id="rId101" xr:uid="{ED751F02-94D8-43FA-B3DE-72C4E23C50DF}"/>
    <hyperlink ref="C39" r:id="rId102" xr:uid="{6606FF32-DB75-44D5-9C05-5369086FBBF1}"/>
    <hyperlink ref="C38" r:id="rId103" xr:uid="{426F4C16-F1FE-46C5-A857-F69A6A42FA9E}"/>
    <hyperlink ref="C37" r:id="rId104" xr:uid="{81347CCE-A42B-412E-A602-4FA9E8141EE9}"/>
    <hyperlink ref="C36" r:id="rId105" xr:uid="{7F1E3376-3ACD-4622-9E87-D0DFF2C17EA7}"/>
    <hyperlink ref="C35" r:id="rId106" xr:uid="{788D9473-E2FE-4187-89D0-FA5CF3552A0A}"/>
    <hyperlink ref="C34" r:id="rId107" xr:uid="{31C45F0A-0BF7-4C01-83C9-C8911AE50103}"/>
    <hyperlink ref="C33" r:id="rId108" xr:uid="{201E408F-4DFD-44E1-B325-C9E18EB39C6E}"/>
    <hyperlink ref="C32" r:id="rId109" xr:uid="{485DE41F-6208-4C90-91A6-70666738E695}"/>
    <hyperlink ref="C31" r:id="rId110" xr:uid="{85434FB7-27C6-4A17-BA86-93D3A1237D69}"/>
    <hyperlink ref="C30" r:id="rId111" xr:uid="{C259B70F-3C9B-4064-A5DC-355E69405394}"/>
    <hyperlink ref="C29" r:id="rId112" xr:uid="{9F62FA2C-D6F0-4B3D-B35E-029E94383E51}"/>
    <hyperlink ref="C27" r:id="rId113" xr:uid="{D77BC470-3716-4055-984D-85FA7A368C5F}"/>
    <hyperlink ref="C26" r:id="rId114" xr:uid="{F9E14CB0-102B-468C-ACC0-EED360B0D911}"/>
    <hyperlink ref="C25" r:id="rId115" xr:uid="{1A2997D3-90BA-4F98-967D-E6421D517E03}"/>
    <hyperlink ref="C24" r:id="rId116" xr:uid="{15D90F1F-BAFF-4B1B-97AC-7F3C8FD927CB}"/>
    <hyperlink ref="C23" r:id="rId117" xr:uid="{8A21DD6F-0E04-4307-94D4-A5F313F983A5}"/>
    <hyperlink ref="C22" r:id="rId118" xr:uid="{430BD71D-8475-4704-8B66-8D495336877F}"/>
    <hyperlink ref="C21" r:id="rId119" xr:uid="{91629657-BEF7-4998-B656-1F5DE80F1002}"/>
    <hyperlink ref="C20" r:id="rId120" xr:uid="{E6A18609-37A9-4350-A0AA-0E10D5E65888}"/>
    <hyperlink ref="C19" r:id="rId121" xr:uid="{BCCCBD76-873D-492C-8564-0A2A1962DF14}"/>
    <hyperlink ref="C18" r:id="rId122" xr:uid="{EB1BCABC-0B3C-4DD6-A429-AF4CF252538E}"/>
    <hyperlink ref="C17" r:id="rId123" xr:uid="{502E9BF3-9006-4EF6-8C6C-E696BDF40134}"/>
    <hyperlink ref="C16" r:id="rId124" xr:uid="{2CB755B3-2ACB-4311-B0A6-AD4C076D8F00}"/>
    <hyperlink ref="C15" r:id="rId125" xr:uid="{377B97AE-CF82-46EF-B735-35070C9229E7}"/>
    <hyperlink ref="C14" r:id="rId126" xr:uid="{95210295-C930-4785-8C4C-69EB8F3071D9}"/>
    <hyperlink ref="C13" r:id="rId127" xr:uid="{EA328413-4333-4CD2-960C-9C2F1DB693CE}"/>
    <hyperlink ref="C12" r:id="rId128" xr:uid="{8EAF4458-9D11-4FDF-94FE-53A0B37EA5F9}"/>
    <hyperlink ref="C11" r:id="rId129" xr:uid="{51FB9BD6-F8B0-4F3C-B07A-63D51AFB6EA8}"/>
    <hyperlink ref="C10" r:id="rId130" xr:uid="{8CE6D078-3F15-4D58-B7ED-DB0F6A104EAE}"/>
    <hyperlink ref="C9" r:id="rId131" xr:uid="{406997F9-F95E-4AF3-8E31-D9B99D62FBE9}"/>
    <hyperlink ref="C8" r:id="rId132" xr:uid="{22CEC399-5E5C-4CE6-8B1B-71A795171247}"/>
    <hyperlink ref="C6" r:id="rId133" xr:uid="{F828FBBB-9D2C-4FBB-990B-8D155AEFFB90}"/>
    <hyperlink ref="C5" r:id="rId134" xr:uid="{21FE1AB9-7C05-419A-9DCA-D7D264704B8E}"/>
    <hyperlink ref="C4" r:id="rId135" xr:uid="{BA91E274-F4E2-4A4A-89FD-091F13E2AF94}"/>
    <hyperlink ref="C141" r:id="rId136" xr:uid="{61337D82-B133-4ACD-9BD2-94684DC4B949}"/>
    <hyperlink ref="C142" r:id="rId137" xr:uid="{127720EE-7362-4F69-BD4D-22CDB4B79CA1}"/>
    <hyperlink ref="C143" r:id="rId138" xr:uid="{745E1939-7C48-4C28-900D-EA6F8E9315D0}"/>
    <hyperlink ref="C144" r:id="rId139" xr:uid="{9CDB9AF1-588B-462D-96F0-13D5E89886BB}"/>
    <hyperlink ref="C150" r:id="rId140" xr:uid="{268687DF-0899-4424-8802-BC237083C14D}"/>
    <hyperlink ref="C151" r:id="rId141" xr:uid="{4A89F5BD-C9DB-4E89-8D22-9049FBDE6DDB}"/>
    <hyperlink ref="C153" r:id="rId142" xr:uid="{14B7EBFD-EA52-484F-95E4-6C0026E0FF3E}"/>
    <hyperlink ref="C152" r:id="rId143" xr:uid="{ADB75314-BBD5-4519-BF1E-83D9DB45B403}"/>
    <hyperlink ref="C154" r:id="rId144" xr:uid="{68AE246F-53F3-488F-86D9-40A46B0CF613}"/>
    <hyperlink ref="C155" r:id="rId145" xr:uid="{D1B3350C-7466-48C0-A809-A0E24E013EF0}"/>
    <hyperlink ref="C156" r:id="rId146" xr:uid="{E8152620-D0CB-4003-8229-CC6F75147732}"/>
    <hyperlink ref="C157" r:id="rId147" xr:uid="{64C4868C-9139-4AFF-BA57-28277A92BC8E}"/>
    <hyperlink ref="C158" r:id="rId148" xr:uid="{4D7D78CB-C429-44F5-8650-72131971EEBA}"/>
    <hyperlink ref="C160" r:id="rId149" xr:uid="{EEEFDBC8-5274-4D4F-A921-3BE342598E26}"/>
    <hyperlink ref="C161" r:id="rId150" xr:uid="{E93E4222-995D-4F38-8516-BC0A18E794E1}"/>
    <hyperlink ref="C162" r:id="rId151" xr:uid="{B0FB008D-A973-40F9-B98F-B26D2A458CFF}"/>
    <hyperlink ref="C163" r:id="rId152" xr:uid="{05A412D7-2A9E-496F-8B2E-346E6FC5B186}"/>
    <hyperlink ref="C159" r:id="rId153" xr:uid="{1D9EC55A-ED17-4B3A-97AE-5DB4B93C97B2}"/>
    <hyperlink ref="C166" r:id="rId154" xr:uid="{C5FC816D-FF4E-426B-9FDF-0C63B6CAA345}"/>
    <hyperlink ref="C165" r:id="rId155" xr:uid="{6E3E15A0-B911-48F2-AE9D-3AC49A5BC75C}"/>
    <hyperlink ref="C167" r:id="rId156" xr:uid="{2918CBEE-2A8E-4DB8-924A-D66626E14A7C}"/>
    <hyperlink ref="C168" r:id="rId157" xr:uid="{6A15FAE5-410C-421A-B974-8D9F26D9F139}"/>
    <hyperlink ref="C169" r:id="rId158" xr:uid="{DC69AC54-6352-4A6D-B220-81615A8F93DD}"/>
    <hyperlink ref="C172" r:id="rId159" xr:uid="{EB23E3EB-4FF3-4D7F-807A-46ECA88FA572}"/>
    <hyperlink ref="C173" r:id="rId160" xr:uid="{85A29EDF-E6BE-4C21-8D2D-3CBC36FBD21F}"/>
    <hyperlink ref="C174" r:id="rId161" xr:uid="{B554E210-FDCD-472E-A2A4-82AC85DEE95C}"/>
    <hyperlink ref="C175" r:id="rId162" xr:uid="{F7960F68-E36D-4F1D-8898-A6542C8E894C}"/>
    <hyperlink ref="C177" r:id="rId163" xr:uid="{3DFFCBB6-069C-4E01-A449-098F0B0F7819}"/>
    <hyperlink ref="C180" r:id="rId164" xr:uid="{BB0AC7C9-A24E-4D92-80EB-55DFF39D5E59}"/>
    <hyperlink ref="C181" r:id="rId165" xr:uid="{08EB140F-46B1-479E-AD85-2ACF1E9BC4AA}"/>
    <hyperlink ref="C182" r:id="rId166" xr:uid="{89C4ABB7-DD22-4394-8420-881212906313}"/>
    <hyperlink ref="C184" r:id="rId167" xr:uid="{A1F56A8D-E377-4A21-917F-A1C2DD89C622}"/>
    <hyperlink ref="C188" r:id="rId168" xr:uid="{56CB1BC8-3FC6-4EF7-942C-D84F56FE8F4A}"/>
    <hyperlink ref="C190" r:id="rId169" xr:uid="{34FC86CD-9A33-4D3F-BD3A-7E21295A6ACE}"/>
    <hyperlink ref="C191" r:id="rId170" xr:uid="{CFF6176F-4EE4-470B-A0A3-A0073C7DF5FD}"/>
    <hyperlink ref="C193" r:id="rId171" xr:uid="{D9CC86E1-9547-4086-956E-C4D4F0FAF9EB}"/>
    <hyperlink ref="C194" r:id="rId172" xr:uid="{8B724DA0-B141-450A-96CC-17F50E4088E0}"/>
    <hyperlink ref="C195" r:id="rId173" xr:uid="{38B902B1-EF38-479E-B77F-22F39B48EF79}"/>
    <hyperlink ref="C171" r:id="rId174" xr:uid="{CA865A11-AA71-4B9E-BF49-FB156A2ACD48}"/>
    <hyperlink ref="C197" r:id="rId175" xr:uid="{BFBA8681-60BA-41F4-9E1E-6B0280F6848F}"/>
    <hyperlink ref="C198" r:id="rId176" xr:uid="{B59CDDC3-46B4-4D2C-8B5E-72BF0D8076D3}"/>
    <hyperlink ref="C199" r:id="rId177" xr:uid="{512F426B-A1A7-423E-858D-4B05AA4C1F2E}"/>
    <hyperlink ref="C200" r:id="rId178" xr:uid="{B558434A-9BC5-4060-9818-61A4DF5F390F}"/>
    <hyperlink ref="C201" r:id="rId179" xr:uid="{026DA356-7AA4-4EDD-9955-71031CE6AF86}"/>
    <hyperlink ref="C146" r:id="rId180" xr:uid="{89DA65C0-4111-4A38-B03A-57230643E9A2}"/>
    <hyperlink ref="C145" r:id="rId181" xr:uid="{4D3A10C2-8F5D-43BD-90D7-FA40041731C2}"/>
    <hyperlink ref="C147" r:id="rId182" xr:uid="{5531FF17-4049-4933-A0EA-3A75CB9379B2}"/>
    <hyperlink ref="C189" r:id="rId183" xr:uid="{156E5DF2-A015-44B9-B2D4-CA37632E45A9}"/>
    <hyperlink ref="C202" r:id="rId184" xr:uid="{F4B1988B-C263-4A6A-B68D-9DE08E6A158A}"/>
    <hyperlink ref="C196" r:id="rId185" xr:uid="{E500C3FF-A090-45AA-ABAA-8080F927F796}"/>
    <hyperlink ref="C203" r:id="rId186" xr:uid="{5012C9FB-D25E-46EA-BA49-E7545785F009}"/>
    <hyperlink ref="C204" r:id="rId187" xr:uid="{347B762A-5C90-40B8-B927-32016ED7A52E}"/>
    <hyperlink ref="C205" r:id="rId188" xr:uid="{0B8F565B-8C1D-4285-8DB6-3CC62A1B32B3}"/>
    <hyperlink ref="C206" r:id="rId189" xr:uid="{A5BDCAE1-B467-4DE7-BFA7-319D762154DE}"/>
    <hyperlink ref="C207" r:id="rId190" xr:uid="{8A0CA672-07D9-4239-A000-71F12A021ED7}"/>
    <hyperlink ref="C208" r:id="rId191" xr:uid="{E8313CA1-7F0B-4B84-95BF-4054ADD3432E}"/>
    <hyperlink ref="C209" r:id="rId192" xr:uid="{F52C75D2-F7DD-43D8-A53A-C38BDE9D836D}"/>
    <hyperlink ref="C210" r:id="rId193" xr:uid="{89E50FC5-4B5E-48CD-AE4F-1214ED9093E8}"/>
    <hyperlink ref="C211" r:id="rId194" xr:uid="{79CB6BC8-1A3B-47BE-839F-BD606568D300}"/>
    <hyperlink ref="C185" r:id="rId195" xr:uid="{91400B83-1AE5-46FA-8479-1820C91EAACA}"/>
    <hyperlink ref="C212" r:id="rId196" xr:uid="{AB0C6A66-63F1-4C02-9396-86D51279ADFC}"/>
    <hyperlink ref="C148" r:id="rId197" xr:uid="{32591D3A-E696-4E9B-939E-82233A84AE4E}"/>
    <hyperlink ref="C149" r:id="rId198" xr:uid="{3C6BE517-9A58-4DB2-961C-07B226B27D5F}"/>
  </hyperlinks>
  <pageMargins left="0.7" right="0.7" top="0.75" bottom="0.75" header="0.3" footer="0.3"/>
  <legacyDrawing r:id="rId1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VARIABILI</vt:lpstr>
      <vt:lpstr>FISSE</vt:lpstr>
      <vt:lpstr>CORRELATIONS</vt:lpstr>
      <vt:lpstr>How O&amp;M + Replacement was calc</vt:lpstr>
      <vt:lpstr>How Start up Cost was calc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 98</dc:creator>
  <cp:lastModifiedBy>Mattia Puddu</cp:lastModifiedBy>
  <dcterms:created xsi:type="dcterms:W3CDTF">2015-06-05T18:17:20Z</dcterms:created>
  <dcterms:modified xsi:type="dcterms:W3CDTF">2026-02-19T13:42:04Z</dcterms:modified>
</cp:coreProperties>
</file>